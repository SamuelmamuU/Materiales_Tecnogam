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652E57BB-C59C-451D-AA1E-32080630051F}" xr6:coauthVersionLast="47" xr6:coauthVersionMax="47" xr10:uidLastSave="{00000000-0000-0000-0000-000000000000}"/>
  <bookViews>
    <workbookView xWindow="-108" yWindow="-108" windowWidth="23256" windowHeight="12456" tabRatio="599" xr2:uid="{1018067C-51FC-4F3B-8020-1B433A89023C}"/>
  </bookViews>
  <sheets>
    <sheet name="INSTRUMENTACIÓN" sheetId="9" r:id="rId1"/>
    <sheet name="VALVULAS" sheetId="10" r:id="rId2"/>
    <sheet name="AVANCE_CHAROFILL" sheetId="1" state="hidden" r:id="rId3"/>
    <sheet name="CHAROFILL" sheetId="12" state="hidden" r:id="rId4"/>
    <sheet name="T_MUERTO" sheetId="13" state="hidden" r:id="rId5"/>
    <sheet name="MOTOR" sheetId="6" r:id="rId6"/>
    <sheet name="JOSE RICARDEZ_BD" sheetId="11" state="hidden" r:id="rId7"/>
  </sheets>
  <externalReferences>
    <externalReference r:id="rId8"/>
  </externalReferences>
  <definedNames>
    <definedName name="_xlnm._FilterDatabase" localSheetId="0" hidden="1">INSTRUMENTACIÓN!$B$4:$P$73</definedName>
    <definedName name="_xlnm._FilterDatabase" localSheetId="1" hidden="1">VALVULAS!$R$4:$W$32</definedName>
    <definedName name="_xlnm.Print_Area" localSheetId="0">INSTRUMENTACIÓN!$A$1:$R$73</definedName>
    <definedName name="_xlnm.Print_Area" localSheetId="5">MOTOR!$A$1:$Q$20</definedName>
    <definedName name="_xlnm.Print_Area" localSheetId="1">VALVULAS!$A$1:$Z$133</definedName>
    <definedName name="C.CPC3" localSheetId="6">[1]!C.CPC3</definedName>
    <definedName name="C.CPC3">[1]!C.CPC3</definedName>
    <definedName name="fCAL75" localSheetId="6">[1]!PROBLEMA.CAL75</definedName>
    <definedName name="fCAL75">[1]!PROBLEMA.CAL75</definedName>
    <definedName name="fCALF" localSheetId="6">[1]!PROBLEMA.CALF</definedName>
    <definedName name="fCALF">[1]!PROBLEMA.CALF</definedName>
    <definedName name="fCPC3" localSheetId="6">[1]!C.CPC3</definedName>
    <definedName name="fCPC3">[1]!C.CPC3</definedName>
    <definedName name="PROBLEMA.CAL75" localSheetId="6">[1]!PROBLEMA.CAL75</definedName>
    <definedName name="PROBLEMA.CAL75">[1]!PROBLEMA.CAL75</definedName>
    <definedName name="PROBLEMA.CALF" localSheetId="6">[1]!PROBLEMA.CALF</definedName>
    <definedName name="PROBLEMA.CALF">[1]!PROBLEMA.CALF</definedName>
    <definedName name="_xlnm.Print_Titles" localSheetId="5">MOTOR!$9:$9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3" l="1"/>
  <c r="E46" i="13"/>
  <c r="C2" i="12"/>
  <c r="S3" i="12" s="1"/>
  <c r="E42" i="13"/>
  <c r="E41" i="13"/>
  <c r="E45" i="13"/>
  <c r="E43" i="13"/>
  <c r="E44" i="13"/>
  <c r="E40" i="13"/>
  <c r="E39" i="13"/>
  <c r="E38" i="13"/>
  <c r="E37" i="13"/>
  <c r="E35" i="13"/>
  <c r="E36" i="13"/>
  <c r="E34" i="13"/>
  <c r="E33" i="13"/>
  <c r="E31" i="13"/>
  <c r="E32" i="13"/>
  <c r="E30" i="13"/>
  <c r="E28" i="13"/>
  <c r="E29" i="13"/>
  <c r="E27" i="13"/>
  <c r="E25" i="13"/>
  <c r="E26" i="13"/>
  <c r="E21" i="13"/>
  <c r="E22" i="13"/>
  <c r="E23" i="13"/>
  <c r="E24" i="13"/>
  <c r="E17" i="13"/>
  <c r="E18" i="13"/>
  <c r="E19" i="13"/>
  <c r="E20" i="13"/>
  <c r="E14" i="13"/>
  <c r="E15" i="13"/>
  <c r="E16" i="13"/>
  <c r="E13" i="13"/>
  <c r="E7" i="13"/>
  <c r="E8" i="13"/>
  <c r="E9" i="13"/>
  <c r="E10" i="13"/>
  <c r="E11" i="13"/>
  <c r="E12" i="13"/>
  <c r="E4" i="13"/>
  <c r="E5" i="13"/>
  <c r="E6" i="13"/>
  <c r="E3" i="13"/>
  <c r="E51" i="13" l="1"/>
  <c r="D52" i="13" s="1"/>
  <c r="L3" i="12"/>
  <c r="E53" i="13" l="1"/>
  <c r="P1" i="10" l="1"/>
  <c r="AF40" i="11"/>
  <c r="Z40" i="11"/>
  <c r="T40" i="11"/>
  <c r="N40" i="11"/>
  <c r="H40" i="11"/>
  <c r="AF32" i="11"/>
  <c r="Z32" i="11"/>
  <c r="N32" i="11"/>
  <c r="H32" i="11"/>
  <c r="S31" i="11"/>
  <c r="R31" i="11" s="1"/>
  <c r="S30" i="11"/>
  <c r="R30" i="11" s="1"/>
  <c r="T29" i="11"/>
  <c r="S29" i="11"/>
  <c r="T28" i="11"/>
  <c r="S28" i="11"/>
  <c r="T27" i="11"/>
  <c r="S27" i="11"/>
  <c r="AF24" i="11"/>
  <c r="Z24" i="11"/>
  <c r="T24" i="11"/>
  <c r="N24" i="11"/>
  <c r="H24" i="11"/>
  <c r="AM16" i="11"/>
  <c r="AF16" i="11"/>
  <c r="Z16" i="11"/>
  <c r="T16" i="11"/>
  <c r="N16" i="11"/>
  <c r="H16" i="11"/>
  <c r="AJ12" i="11"/>
  <c r="AF10" i="11"/>
  <c r="Z10" i="11"/>
  <c r="T10" i="11"/>
  <c r="N10" i="11"/>
  <c r="H10" i="11"/>
  <c r="AM7" i="11"/>
  <c r="AJ5" i="11"/>
  <c r="I20" i="6"/>
  <c r="I19" i="6"/>
  <c r="I18" i="6"/>
  <c r="I17" i="6"/>
  <c r="I16" i="6"/>
  <c r="I15" i="6"/>
  <c r="I14" i="6"/>
  <c r="I13" i="6"/>
  <c r="I12" i="6"/>
  <c r="I11" i="6"/>
  <c r="I10" i="6"/>
  <c r="K11" i="1"/>
  <c r="K12" i="1" s="1"/>
  <c r="R28" i="11" l="1"/>
  <c r="AH8" i="11"/>
  <c r="AJ6" i="11" s="1"/>
  <c r="AH21" i="11"/>
  <c r="AH37" i="11"/>
  <c r="AH15" i="11"/>
  <c r="AJ13" i="11" s="1"/>
  <c r="R29" i="11"/>
  <c r="R27" i="11"/>
  <c r="T32" i="11" l="1"/>
  <c r="AH29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tc={63720583-B10C-414A-9C32-AA6AA15AF880}</author>
    <author>tc={151E8E57-6619-4454-8CD0-777766E58A75}</author>
    <author>tc={0F1A267E-6DE0-4194-8ED0-DCB12F58C1FD}</author>
    <author>tc={028B94E3-067B-4BFA-9943-ADCD6A61AA07}</author>
    <author>tc={5B71538D-08B3-4AB9-B31E-05A1F72F3706}</author>
    <author>tc={66B38338-86A1-41B2-A2CF-999B3CD7A871}</author>
    <author>tc={6D7F6474-191A-42E4-8103-6C61BAFB3742}</author>
    <author>tc={63C04811-AD42-4CBE-9490-4E679CB1B2F7}</author>
    <author>tc={573D0DF6-CF03-4411-B942-C34B792F3CF2}</author>
    <author>tc={A13096FA-3693-4DD2-A2AC-39743B977E1C}</author>
    <author>tc={0C69BAA0-7B92-42C8-822C-15C9701427DA}</author>
  </authors>
  <commentList>
    <comment ref="C34" authorId="0" shapeId="0" xr:uid="{63720583-B10C-414A-9C32-AA6AA15AF88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INTALACION DE SENSORES</t>
      </text>
    </comment>
    <comment ref="C35" authorId="1" shapeId="0" xr:uid="{151E8E57-6619-4454-8CD0-777766E58A7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INTALACION DE SENSORES</t>
      </text>
    </comment>
    <comment ref="C38" authorId="2" shapeId="0" xr:uid="{0F1A267E-6DE0-4194-8ED0-DCB12F58C1F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INSTALO SENSOR DE POSICIÓN Y CABLEADO DE CONTROL</t>
      </text>
    </comment>
    <comment ref="C39" authorId="3" shapeId="0" xr:uid="{028B94E3-067B-4BFA-9943-ADCD6A61AA0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INSTALO SENSOR DE POSICIÓN Y CABLEADO DE CONTROL</t>
      </text>
    </comment>
    <comment ref="C40" authorId="4" shapeId="0" xr:uid="{5B71538D-08B3-4AB9-B31E-05A1F72F37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INSTALO SENSOR DE POSICIÓN Y CABLEADO DE CONTROL</t>
      </text>
    </comment>
    <comment ref="C41" authorId="5" shapeId="0" xr:uid="{66B38338-86A1-41B2-A2CF-999B3CD7A87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INSTALO SENSOR DE POSICIÓN Y CABLEADO DE CONTROL</t>
      </text>
    </comment>
    <comment ref="C42" authorId="6" shapeId="0" xr:uid="{6D7F6474-191A-42E4-8103-6C61BAFB374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INSTALO SENSOR DE POSICIÓN Y CABLEADO DE CONTROL</t>
      </text>
    </comment>
    <comment ref="C45" authorId="7" shapeId="0" xr:uid="{63C04811-AD42-4CBE-9490-4E679CB1B2F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INSTALO SENSOR DE POSICIÓN Y CABLEADO DE CONTROL </t>
      </text>
    </comment>
    <comment ref="C46" authorId="8" shapeId="0" xr:uid="{573D0DF6-CF03-4411-B942-C34B792F3CF2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INSTALO SENSOR DE POSICIÓN Y CABLEADO DE CONTROL </t>
      </text>
    </comment>
    <comment ref="C92" authorId="9" shapeId="0" xr:uid="{A13096FA-3693-4DD2-A2AC-39743B977E1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INSTALO SENSOR DE POSICIÓN Y CABLEADO DE CONTROL </t>
      </text>
    </comment>
    <comment ref="B101" authorId="10" shapeId="0" xr:uid="{0C69BAA0-7B92-42C8-822C-15C9701427D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Instalación de Filtro</t>
      </text>
    </comment>
  </commentList>
</comments>
</file>

<file path=xl/sharedStrings.xml><?xml version="1.0" encoding="utf-8"?>
<sst xmlns="http://schemas.openxmlformats.org/spreadsheetml/2006/main" count="2056" uniqueCount="705">
  <si>
    <t>NIVEL 0</t>
  </si>
  <si>
    <t>NIVEL 1</t>
  </si>
  <si>
    <t>NIVEL 2</t>
  </si>
  <si>
    <t>NIVEL 3</t>
  </si>
  <si>
    <t>NIVEL 4</t>
  </si>
  <si>
    <t>NIVEL 5</t>
  </si>
  <si>
    <t>Contactos</t>
  </si>
  <si>
    <t>Alumbrado</t>
  </si>
  <si>
    <t>Apagadores</t>
  </si>
  <si>
    <t>Fuerza</t>
  </si>
  <si>
    <t>Instrumentación</t>
  </si>
  <si>
    <t>AVANCE DE CANALIZACIÓN</t>
  </si>
  <si>
    <t>CONCEPTO</t>
  </si>
  <si>
    <t>SEMANA 1</t>
  </si>
  <si>
    <t>Neumatica</t>
  </si>
  <si>
    <t>NA</t>
  </si>
  <si>
    <t>-</t>
  </si>
  <si>
    <t>SEMANA 2</t>
  </si>
  <si>
    <t>SEMANA 3</t>
  </si>
  <si>
    <t>SEMANA 4</t>
  </si>
  <si>
    <t>SEMANA 5</t>
  </si>
  <si>
    <t>INSTALACION DE CHAROFILL Y SOPORTERIA</t>
  </si>
  <si>
    <t>m</t>
  </si>
  <si>
    <t>CHAROFILL (m)</t>
  </si>
  <si>
    <t>SOPORTERIA (Pza)</t>
  </si>
  <si>
    <t>INSTRUMENTOS (Pza)</t>
  </si>
  <si>
    <t>HABILITADO E INSTALACIÓN</t>
  </si>
  <si>
    <t>Temp.</t>
  </si>
  <si>
    <t>Pres.</t>
  </si>
  <si>
    <t>Nivel</t>
  </si>
  <si>
    <t>Flujo</t>
  </si>
  <si>
    <t>Neum</t>
  </si>
  <si>
    <t xml:space="preserve">REVISIÓN INICIAL </t>
  </si>
  <si>
    <t>PRUEBAS DE AISLAMIENTO</t>
  </si>
  <si>
    <t>N/A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</si>
  <si>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</si>
  <si>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</si>
  <si>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</si>
  <si>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</si>
  <si>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</si>
  <si>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</si>
  <si>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</si>
  <si>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</si>
  <si>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</si>
  <si>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R5</t>
  </si>
  <si>
    <t>R1</t>
  </si>
  <si>
    <t>R2</t>
  </si>
  <si>
    <t>R3</t>
  </si>
  <si>
    <t>R4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</si>
  <si>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</si>
  <si>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</si>
  <si>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</si>
  <si>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</si>
  <si>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</si>
  <si>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</si>
  <si>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</si>
  <si>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</si>
  <si>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</si>
  <si>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</si>
  <si>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</si>
  <si>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TOTAL:</t>
  </si>
  <si>
    <t>PROGRAM:</t>
  </si>
  <si>
    <t>Pza</t>
  </si>
  <si>
    <t>N1</t>
  </si>
  <si>
    <t>N2</t>
  </si>
  <si>
    <t>N0</t>
  </si>
  <si>
    <t>N3</t>
  </si>
  <si>
    <t>N4</t>
  </si>
  <si>
    <t>N5</t>
  </si>
  <si>
    <t>ALUMBBRADO</t>
  </si>
  <si>
    <t>CHAROFILL</t>
  </si>
  <si>
    <t>AVANCE DE INSTALACIÓN</t>
  </si>
  <si>
    <t>Part</t>
  </si>
  <si>
    <t>TAG</t>
  </si>
  <si>
    <t>DESCRIPTION</t>
  </si>
  <si>
    <t>OPERATING MODE</t>
  </si>
  <si>
    <t>VOLTAGE</t>
  </si>
  <si>
    <t>HP</t>
  </si>
  <si>
    <t>PHASES</t>
  </si>
  <si>
    <t>FULL LOAD CURRENT
(FLA) NEC 430.250 / 430.248
Amps</t>
  </si>
  <si>
    <t>FULL LOAD CURRENT (FLA) *1.25.
Amps</t>
  </si>
  <si>
    <t>TEMPERATURE FACTOR
NEC 310.16</t>
  </si>
  <si>
    <t>GROUPING FACTOR
NEC 310.15 (B)(2)(a)</t>
  </si>
  <si>
    <t>WIRES PER PHASE</t>
  </si>
  <si>
    <t>VOLTAGE LOSS FACTOR</t>
  </si>
  <si>
    <t>CABLE LENGTH
(MTS)</t>
  </si>
  <si>
    <t>VOLTAGE LOSS PERCENTAGE</t>
  </si>
  <si>
    <t>WIRE GAUGE</t>
  </si>
  <si>
    <t xml:space="preserve">
GROUND WIRE GAUGE</t>
  </si>
  <si>
    <t>PA14001</t>
  </si>
  <si>
    <t>CHARGING PUMP</t>
  </si>
  <si>
    <t>M</t>
  </si>
  <si>
    <t>ATP</t>
  </si>
  <si>
    <t>PA14002</t>
  </si>
  <si>
    <t>TRANSFER PUMP</t>
  </si>
  <si>
    <t>VA14003</t>
  </si>
  <si>
    <t>VACUUM PUMP</t>
  </si>
  <si>
    <t>PA14004</t>
  </si>
  <si>
    <t>DISTILATE PUMP</t>
  </si>
  <si>
    <t>VFD</t>
  </si>
  <si>
    <t>PA14005</t>
  </si>
  <si>
    <t>PA14006</t>
  </si>
  <si>
    <t>COOLING WATER PUMP</t>
  </si>
  <si>
    <t>PA14007</t>
  </si>
  <si>
    <t>BRINE PUMP</t>
  </si>
  <si>
    <t>PA14008</t>
  </si>
  <si>
    <t>DOSING PUMP</t>
  </si>
  <si>
    <t>PA14009</t>
  </si>
  <si>
    <t>FILTRATION PUMP</t>
  </si>
  <si>
    <t>RW14001</t>
  </si>
  <si>
    <t>REACTOR AGITATOR</t>
  </si>
  <si>
    <t>RW14002</t>
  </si>
  <si>
    <t>MAIN RECEIVER AGITATOR</t>
  </si>
  <si>
    <t>NIVEL</t>
  </si>
  <si>
    <t>3X10AWG</t>
  </si>
  <si>
    <t>Item</t>
  </si>
  <si>
    <t>Tag</t>
  </si>
  <si>
    <t>Cant.</t>
  </si>
  <si>
    <t>Nota</t>
  </si>
  <si>
    <t>RA01</t>
  </si>
  <si>
    <t>LI001</t>
  </si>
  <si>
    <t>Sensor Radar para la medición continua de nivel en líquidos</t>
  </si>
  <si>
    <t>RA02</t>
  </si>
  <si>
    <t>LI009</t>
  </si>
  <si>
    <t>BA03</t>
  </si>
  <si>
    <t>LI010</t>
  </si>
  <si>
    <t>BA04</t>
  </si>
  <si>
    <t>LI011</t>
  </si>
  <si>
    <t>BA05</t>
  </si>
  <si>
    <t>LI012</t>
  </si>
  <si>
    <t>BA06</t>
  </si>
  <si>
    <t>LI013</t>
  </si>
  <si>
    <t>PA04</t>
  </si>
  <si>
    <t>LIC004</t>
  </si>
  <si>
    <t>PA05</t>
  </si>
  <si>
    <t>LIC006</t>
  </si>
  <si>
    <t>LZA-002</t>
  </si>
  <si>
    <t>Interruptor de nivel tipo vibratorio compacto para líquidos</t>
  </si>
  <si>
    <t>LZA-005</t>
  </si>
  <si>
    <t>LZA-007</t>
  </si>
  <si>
    <t>PA02</t>
  </si>
  <si>
    <t>LZA-008</t>
  </si>
  <si>
    <t>LZA-014</t>
  </si>
  <si>
    <t>LZA-015</t>
  </si>
  <si>
    <t>LZA-016</t>
  </si>
  <si>
    <t>LZA-017</t>
  </si>
  <si>
    <t>LZA-018</t>
  </si>
  <si>
    <t>BA08</t>
  </si>
  <si>
    <t>LZA-020</t>
  </si>
  <si>
    <t>PRESIÓN</t>
  </si>
  <si>
    <t>PIZA04</t>
  </si>
  <si>
    <t>Presión Reactor RA01</t>
  </si>
  <si>
    <t>KA01</t>
  </si>
  <si>
    <t>PIC07</t>
  </si>
  <si>
    <t>Transmisor de presión absoluta KA01</t>
  </si>
  <si>
    <t>PIC06</t>
  </si>
  <si>
    <t>PDIC08</t>
  </si>
  <si>
    <t>Transmisor diferencial de presión superior e inferior KA01</t>
  </si>
  <si>
    <t>PIC05</t>
  </si>
  <si>
    <t>Transmisor de presión manométrica RA01</t>
  </si>
  <si>
    <t>TEMPERATURA</t>
  </si>
  <si>
    <t>WA01</t>
  </si>
  <si>
    <t>TI012</t>
  </si>
  <si>
    <t>WA02</t>
  </si>
  <si>
    <t>TI014</t>
  </si>
  <si>
    <t>TI017</t>
  </si>
  <si>
    <t>WA05</t>
  </si>
  <si>
    <t>TI020</t>
  </si>
  <si>
    <t>WA06</t>
  </si>
  <si>
    <t>TI021</t>
  </si>
  <si>
    <t>TI023</t>
  </si>
  <si>
    <t>TI024</t>
  </si>
  <si>
    <t>TI025</t>
  </si>
  <si>
    <t>TIC026</t>
  </si>
  <si>
    <t>TIC022</t>
  </si>
  <si>
    <t>TIC013</t>
  </si>
  <si>
    <t>TIC015</t>
  </si>
  <si>
    <t>TICZA001</t>
  </si>
  <si>
    <t>TIZA002</t>
  </si>
  <si>
    <t>TIZA003</t>
  </si>
  <si>
    <t>TIZA004</t>
  </si>
  <si>
    <t>TIZA005</t>
  </si>
  <si>
    <t>TIZA006</t>
  </si>
  <si>
    <t>TIZA007</t>
  </si>
  <si>
    <t>TIZA008</t>
  </si>
  <si>
    <t>TIZA009</t>
  </si>
  <si>
    <t>TIZA010</t>
  </si>
  <si>
    <t>TISA018</t>
  </si>
  <si>
    <t>WA04</t>
  </si>
  <si>
    <t>TIC016</t>
  </si>
  <si>
    <t>TISA019</t>
  </si>
  <si>
    <t>VA03</t>
  </si>
  <si>
    <t>TIC028</t>
  </si>
  <si>
    <t>TIC029</t>
  </si>
  <si>
    <t>FLUJO</t>
  </si>
  <si>
    <t>FI007</t>
  </si>
  <si>
    <t>Transmisor de flujo para destilado</t>
  </si>
  <si>
    <t>FI008</t>
  </si>
  <si>
    <t>Transmisor de flujo electromagnético</t>
  </si>
  <si>
    <t>FI009</t>
  </si>
  <si>
    <t xml:space="preserve">Transmisor de flujo electromagnético para agua helada (chiller) </t>
  </si>
  <si>
    <t>FI010</t>
  </si>
  <si>
    <t xml:space="preserve">Indicador de flujo después de válvula de retención en línea de agua potable </t>
  </si>
  <si>
    <t>WA07</t>
  </si>
  <si>
    <t>FI011</t>
  </si>
  <si>
    <t>Indicador de Flujo de salmuera</t>
  </si>
  <si>
    <t>FIA005</t>
  </si>
  <si>
    <t>Transmisor de flujo electromagnetico</t>
  </si>
  <si>
    <t>FIC006</t>
  </si>
  <si>
    <t>Transmisor de flujo vortex para vapor 30 Bar</t>
  </si>
  <si>
    <t>FQIS001</t>
  </si>
  <si>
    <t>Medidor de Flujo Másico tipo Coriolis para destilado</t>
  </si>
  <si>
    <t>FQIS002</t>
  </si>
  <si>
    <t>FQIS013</t>
  </si>
  <si>
    <t>FZA012</t>
  </si>
  <si>
    <t>Switch flujo de agua potable</t>
  </si>
  <si>
    <t>FQIS004</t>
  </si>
  <si>
    <t>Medidor de Flujo Másico tipo Coriolis para dosificación</t>
  </si>
  <si>
    <t>SIST. TIERRAS</t>
  </si>
  <si>
    <t>CABLEADO 2/0</t>
  </si>
  <si>
    <t>CONEXIÓN</t>
  </si>
  <si>
    <t>CCM</t>
  </si>
  <si>
    <t>EVK</t>
  </si>
  <si>
    <t>MOTORES</t>
  </si>
  <si>
    <t>CABLEADO</t>
  </si>
  <si>
    <t>TAMAÑ. CABLE</t>
  </si>
  <si>
    <t>3X6AWG</t>
  </si>
  <si>
    <t>TIA027</t>
  </si>
  <si>
    <t>ITEM</t>
  </si>
  <si>
    <t>GOS01</t>
  </si>
  <si>
    <t>Manual</t>
  </si>
  <si>
    <t>Bola</t>
  </si>
  <si>
    <t>Carga a recibidores</t>
  </si>
  <si>
    <t>Con sensor de posición</t>
  </si>
  <si>
    <t>GOS02</t>
  </si>
  <si>
    <t>Descarga RA01</t>
  </si>
  <si>
    <t>GOS03</t>
  </si>
  <si>
    <t>Descarga RA02</t>
  </si>
  <si>
    <t>GOS04</t>
  </si>
  <si>
    <t>Descarga BA03</t>
  </si>
  <si>
    <t>GOS05</t>
  </si>
  <si>
    <t>Descarga BA04</t>
  </si>
  <si>
    <t>GOS06</t>
  </si>
  <si>
    <t>Descarga BA05</t>
  </si>
  <si>
    <t>GOS07</t>
  </si>
  <si>
    <t>Descarga BA06</t>
  </si>
  <si>
    <t>GOS08</t>
  </si>
  <si>
    <t>Descarga RA02 a conveyor</t>
  </si>
  <si>
    <t>US002</t>
  </si>
  <si>
    <t>Automática</t>
  </si>
  <si>
    <t>Entrada anterior vapor 3 bar RA01</t>
  </si>
  <si>
    <t>Cierra</t>
  </si>
  <si>
    <t>US003</t>
  </si>
  <si>
    <t>Drenado vapor 3 bar  RA01</t>
  </si>
  <si>
    <t>US-005</t>
  </si>
  <si>
    <t>Entrada agua torre RA01</t>
  </si>
  <si>
    <t>US-006</t>
  </si>
  <si>
    <t>Entrada agua tibia RA01</t>
  </si>
  <si>
    <t>US-007</t>
  </si>
  <si>
    <t>Retorno agua torre RA01</t>
  </si>
  <si>
    <t>US-008</t>
  </si>
  <si>
    <t>Drenaje RA01</t>
  </si>
  <si>
    <t>US-009</t>
  </si>
  <si>
    <t>Entrada vapor 10 bar</t>
  </si>
  <si>
    <t>US-010</t>
  </si>
  <si>
    <t>Entrada vapor RA01</t>
  </si>
  <si>
    <t>US-011</t>
  </si>
  <si>
    <t>Tren de vapor grueso</t>
  </si>
  <si>
    <t>US014</t>
  </si>
  <si>
    <t>Entrada de vapor chaqueta superior RA01</t>
  </si>
  <si>
    <t>US015</t>
  </si>
  <si>
    <t>Entrada vapor  3 bar WA04</t>
  </si>
  <si>
    <t>US-016</t>
  </si>
  <si>
    <t>Entrada vapor 30 bar</t>
  </si>
  <si>
    <t>US-017</t>
  </si>
  <si>
    <t>Tren de vapor fino</t>
  </si>
  <si>
    <t>US019</t>
  </si>
  <si>
    <t>Retorno de vapor chaqueta superior RA01</t>
  </si>
  <si>
    <t>US020</t>
  </si>
  <si>
    <t>Retorno de vapor chaqueta inferior RA01</t>
  </si>
  <si>
    <t>US-021</t>
  </si>
  <si>
    <t>Retorno vapor 10 bar</t>
  </si>
  <si>
    <t>US-022</t>
  </si>
  <si>
    <t>Retorno vapor 30 bar</t>
  </si>
  <si>
    <t>US-023</t>
  </si>
  <si>
    <t>Válvula Mofler RA01</t>
  </si>
  <si>
    <t>Abre</t>
  </si>
  <si>
    <t>US024</t>
  </si>
  <si>
    <t>Conexión chaquetas RA01</t>
  </si>
  <si>
    <t>US-025</t>
  </si>
  <si>
    <t>Carga posterior</t>
  </si>
  <si>
    <t>US-027</t>
  </si>
  <si>
    <t>Carga anterior</t>
  </si>
  <si>
    <t>US028</t>
  </si>
  <si>
    <t>Descarga anterior RA01</t>
  </si>
  <si>
    <t>US029</t>
  </si>
  <si>
    <t>Descarga posterior RA01</t>
  </si>
  <si>
    <t>US-030</t>
  </si>
  <si>
    <t>Válvula transferencia RA01</t>
  </si>
  <si>
    <t>US032</t>
  </si>
  <si>
    <t>Entrada TQ29</t>
  </si>
  <si>
    <t>US035</t>
  </si>
  <si>
    <t>Entrada TQ03</t>
  </si>
  <si>
    <t>US036</t>
  </si>
  <si>
    <t>Entrada TQ15</t>
  </si>
  <si>
    <t>US037</t>
  </si>
  <si>
    <t>Entrada TQ16</t>
  </si>
  <si>
    <t>US038</t>
  </si>
  <si>
    <t>Entrada TQ26</t>
  </si>
  <si>
    <t>US039</t>
  </si>
  <si>
    <t>Entrada TQ27</t>
  </si>
  <si>
    <t>US040</t>
  </si>
  <si>
    <t>Entrada anterior agua potable RA01</t>
  </si>
  <si>
    <t>US041</t>
  </si>
  <si>
    <t>Dren agua potable RA01</t>
  </si>
  <si>
    <t>US045</t>
  </si>
  <si>
    <t>Entrada de agua de torre WA01</t>
  </si>
  <si>
    <t>US046</t>
  </si>
  <si>
    <t>Entrada de agua fría WA01</t>
  </si>
  <si>
    <t>US048</t>
  </si>
  <si>
    <t>Entrada agua torre WA05</t>
  </si>
  <si>
    <t>US049</t>
  </si>
  <si>
    <t>Entrada agua torre WA06</t>
  </si>
  <si>
    <t>US050</t>
  </si>
  <si>
    <t>Retorno agua torre WA05</t>
  </si>
  <si>
    <t>US052</t>
  </si>
  <si>
    <t>Entrada agua torre WA08</t>
  </si>
  <si>
    <t>US053</t>
  </si>
  <si>
    <t>Entrada agua potable VA03</t>
  </si>
  <si>
    <t>US054</t>
  </si>
  <si>
    <t>Entrada salmuera a WA05</t>
  </si>
  <si>
    <t>US055</t>
  </si>
  <si>
    <t>Retorno salmuera WA05</t>
  </si>
  <si>
    <t>US056</t>
  </si>
  <si>
    <t>Entrada salmuera a WA03</t>
  </si>
  <si>
    <t>US058</t>
  </si>
  <si>
    <t>Entrada salmuera VA03</t>
  </si>
  <si>
    <t>US065</t>
  </si>
  <si>
    <t>Entrada vapor 1er Eyector</t>
  </si>
  <si>
    <t>US066</t>
  </si>
  <si>
    <t>Entrada vapor 2do Eyector</t>
  </si>
  <si>
    <t>US-069</t>
  </si>
  <si>
    <t xml:space="preserve">Bypass línea de reflujo </t>
  </si>
  <si>
    <t>US070</t>
  </si>
  <si>
    <t>Drenado línea de destilado</t>
  </si>
  <si>
    <t>US071</t>
  </si>
  <si>
    <t>Drenado línea de reflujo</t>
  </si>
  <si>
    <t>US-072</t>
  </si>
  <si>
    <t>Bypass línea de reflujo a RA01</t>
  </si>
  <si>
    <t>US073</t>
  </si>
  <si>
    <t>Destilado post condensador línea principal</t>
  </si>
  <si>
    <t>US074</t>
  </si>
  <si>
    <t>Compensación línea destilado lateral</t>
  </si>
  <si>
    <t>US079</t>
  </si>
  <si>
    <t>Entrada agua torre RA02</t>
  </si>
  <si>
    <t>US080</t>
  </si>
  <si>
    <t>Retorno agua torre RA02</t>
  </si>
  <si>
    <t>US081</t>
  </si>
  <si>
    <t>Drenaje RA02</t>
  </si>
  <si>
    <t>US082</t>
  </si>
  <si>
    <t>Entrada vapor RA02</t>
  </si>
  <si>
    <t>US083</t>
  </si>
  <si>
    <t>Retorno vapor RA02</t>
  </si>
  <si>
    <t>US084</t>
  </si>
  <si>
    <t>Mofler RA02</t>
  </si>
  <si>
    <t>US085</t>
  </si>
  <si>
    <t>Entrada salmuera BA06</t>
  </si>
  <si>
    <t>US086</t>
  </si>
  <si>
    <t>Entrada Nitrógeno RA02</t>
  </si>
  <si>
    <t>US087</t>
  </si>
  <si>
    <t>Nitrógeno BA06</t>
  </si>
  <si>
    <t>US088</t>
  </si>
  <si>
    <t>Vacío BA06</t>
  </si>
  <si>
    <t>US090</t>
  </si>
  <si>
    <t>Salida destilado PA04</t>
  </si>
  <si>
    <t>US092</t>
  </si>
  <si>
    <t>Salida destilado PA05</t>
  </si>
  <si>
    <t>US-100</t>
  </si>
  <si>
    <t>Transferencia PA04 a TQ01</t>
  </si>
  <si>
    <t>US-101</t>
  </si>
  <si>
    <t>Transferencia PA04 a TQ28</t>
  </si>
  <si>
    <t>US-102</t>
  </si>
  <si>
    <t>Transferencia TQ15 a BA03</t>
  </si>
  <si>
    <t>US-103</t>
  </si>
  <si>
    <t>Transferencia TQ20 a BA03</t>
  </si>
  <si>
    <t>US104</t>
  </si>
  <si>
    <t>Transferencia BA03 a RA01</t>
  </si>
  <si>
    <t>US105</t>
  </si>
  <si>
    <t>PA08 a RA01</t>
  </si>
  <si>
    <t>US106</t>
  </si>
  <si>
    <t>Bypass BA03 a RA01</t>
  </si>
  <si>
    <t>US109</t>
  </si>
  <si>
    <t>Transferencia BA04 a RA01</t>
  </si>
  <si>
    <t>US110</t>
  </si>
  <si>
    <t>Transferencia BA05 a RA01</t>
  </si>
  <si>
    <t>US112</t>
  </si>
  <si>
    <t>US113</t>
  </si>
  <si>
    <t>US114</t>
  </si>
  <si>
    <t>US115</t>
  </si>
  <si>
    <t>US116</t>
  </si>
  <si>
    <t>US117</t>
  </si>
  <si>
    <t>Entrada anterior vapor directo 3 bar RA02</t>
  </si>
  <si>
    <t>US118</t>
  </si>
  <si>
    <t>Dren línea de vapor directo 3 bar RA02</t>
  </si>
  <si>
    <t>US-119</t>
  </si>
  <si>
    <t>Entrada posterior vapor directo 3 bar RA02</t>
  </si>
  <si>
    <t>US120</t>
  </si>
  <si>
    <t>US121</t>
  </si>
  <si>
    <t>Vapor a BA04</t>
  </si>
  <si>
    <t>US122</t>
  </si>
  <si>
    <t>Vapor a BA05</t>
  </si>
  <si>
    <t>UV012</t>
  </si>
  <si>
    <t>Control</t>
  </si>
  <si>
    <t>Puerto V</t>
  </si>
  <si>
    <t>Controladora vapor tren grueso</t>
  </si>
  <si>
    <t>UV018</t>
  </si>
  <si>
    <t>Controladora vapor tren fino</t>
  </si>
  <si>
    <t>UV051</t>
  </si>
  <si>
    <t>Controladora agua de torre</t>
  </si>
  <si>
    <t>UV057</t>
  </si>
  <si>
    <t>Controladora retorno salmuera</t>
  </si>
  <si>
    <t>UV059</t>
  </si>
  <si>
    <t>Controladora flujo salmuera</t>
  </si>
  <si>
    <t>UV062</t>
  </si>
  <si>
    <t>Controladora venteo presión equipo</t>
  </si>
  <si>
    <t>UV064</t>
  </si>
  <si>
    <t>Controladora vacío grueso</t>
  </si>
  <si>
    <t>UV067</t>
  </si>
  <si>
    <t>Mariposa</t>
  </si>
  <si>
    <t>Controladora vacío fino</t>
  </si>
  <si>
    <t>UV089</t>
  </si>
  <si>
    <t>Controladora flujo destilado PA04</t>
  </si>
  <si>
    <t>UV091</t>
  </si>
  <si>
    <t>Controladora flujo destilado PA05</t>
  </si>
  <si>
    <t>UV107</t>
  </si>
  <si>
    <t>Controladora de dosificación BA03 a RA01</t>
  </si>
  <si>
    <t>UZ-001</t>
  </si>
  <si>
    <t>Entrada de Nitrógeno RA01</t>
  </si>
  <si>
    <t>UZ-004</t>
  </si>
  <si>
    <t>Entrada posterior vapor 3 bar RA01</t>
  </si>
  <si>
    <t>UZ-013</t>
  </si>
  <si>
    <t>Entrada de vapor RA01</t>
  </si>
  <si>
    <t>UZ-026</t>
  </si>
  <si>
    <t>Línea de carga RA01</t>
  </si>
  <si>
    <t>UZ-031</t>
  </si>
  <si>
    <t>TQ29 a RA01</t>
  </si>
  <si>
    <t>UZ-034</t>
  </si>
  <si>
    <t>Manifold tanques RA01</t>
  </si>
  <si>
    <t>UZ-042</t>
  </si>
  <si>
    <t>Entrada posterior agua potable RA01</t>
  </si>
  <si>
    <t>UZ-047</t>
  </si>
  <si>
    <t>Entrada de Nitrógeno columna</t>
  </si>
  <si>
    <t>UZ-060</t>
  </si>
  <si>
    <t>Venteo atmosférico equipo</t>
  </si>
  <si>
    <t>UZ-061</t>
  </si>
  <si>
    <t>Venteo de presión equipo</t>
  </si>
  <si>
    <t>UZ-063</t>
  </si>
  <si>
    <t>Vacío equipo</t>
  </si>
  <si>
    <t>UZ-076</t>
  </si>
  <si>
    <t>Carga antiespumante</t>
  </si>
  <si>
    <t>Antiespumante</t>
  </si>
  <si>
    <t>UZ-077</t>
  </si>
  <si>
    <t>Destilado a reactor</t>
  </si>
  <si>
    <t>UZ-093</t>
  </si>
  <si>
    <t>Destilado WA05 RA14002 Cabeza</t>
  </si>
  <si>
    <t>UZ-094</t>
  </si>
  <si>
    <t>Destilado WA05 BA14003 Cabeza</t>
  </si>
  <si>
    <t>UZ-095</t>
  </si>
  <si>
    <t>Destilado WA05 BA14004 Cabeza</t>
  </si>
  <si>
    <t>UZ-096</t>
  </si>
  <si>
    <t>Destilado WA05 BA14005 Cabeza</t>
  </si>
  <si>
    <t>UZ-097</t>
  </si>
  <si>
    <t>Destilado WA06 RA14002 Lado</t>
  </si>
  <si>
    <t>UZ-098</t>
  </si>
  <si>
    <t>Destilado WA06 BA14004 Lado</t>
  </si>
  <si>
    <t>UZ-099</t>
  </si>
  <si>
    <t>Destilado post condensador a BA06</t>
  </si>
  <si>
    <t>UZ-108</t>
  </si>
  <si>
    <t>Línea dosificación BA03 a RA01</t>
  </si>
  <si>
    <t>UZ-111</t>
  </si>
  <si>
    <t>Descarga BA04 y BA05 a RA01</t>
  </si>
  <si>
    <t>FECHA</t>
  </si>
  <si>
    <t>Habilitado de soporteria</t>
  </si>
  <si>
    <t>instalación de soporteria</t>
  </si>
  <si>
    <t>habilitado de Charofill</t>
  </si>
  <si>
    <t>Instalación de Charofill</t>
  </si>
  <si>
    <t>Habilitado de circuitos</t>
  </si>
  <si>
    <t>Tendido de circuitos 3170 m</t>
  </si>
  <si>
    <t>Peinado y conformado de circuitos</t>
  </si>
  <si>
    <t>Instalación de transmisor de Temp.</t>
  </si>
  <si>
    <t>pza</t>
  </si>
  <si>
    <t>ctos</t>
  </si>
  <si>
    <t>Sup</t>
  </si>
  <si>
    <t>Elec.</t>
  </si>
  <si>
    <t>Ayud</t>
  </si>
  <si>
    <t>REP-41</t>
  </si>
  <si>
    <t>habilitado de Charofill 4"</t>
  </si>
  <si>
    <t>habilitado de Charofill 8"</t>
  </si>
  <si>
    <t>TIC-025</t>
  </si>
  <si>
    <t>US-086</t>
  </si>
  <si>
    <t>US-110</t>
  </si>
  <si>
    <t>US-115</t>
  </si>
  <si>
    <t>Movimiento de carretes</t>
  </si>
  <si>
    <t>US-122</t>
  </si>
  <si>
    <t>US-117</t>
  </si>
  <si>
    <t>Peinado y conformado de  circuitos</t>
  </si>
  <si>
    <t>8 circuitos</t>
  </si>
  <si>
    <t>Trabajo adiccional de lampara</t>
  </si>
  <si>
    <t>armado de andamio</t>
  </si>
  <si>
    <t>desarmado de andamios</t>
  </si>
  <si>
    <t>4 lamparas</t>
  </si>
  <si>
    <t>2 torres de andamios</t>
  </si>
  <si>
    <t>PRUEBAS AISLAMIENTO  MOTOR</t>
  </si>
  <si>
    <t>PRUEBAS AISLAMIENTO  CIRCUITO</t>
  </si>
  <si>
    <t>TIA11</t>
  </si>
  <si>
    <t>CONECTADO</t>
  </si>
  <si>
    <t>Instalación de cable de 2x12 awg</t>
  </si>
  <si>
    <t>Instalación de conectores M 2X2</t>
  </si>
  <si>
    <t>Conexión de alimentación a lumina</t>
  </si>
  <si>
    <t>Conexionado y etiquetado de RECT</t>
  </si>
  <si>
    <t>Instalación  de terminales a bombas</t>
  </si>
  <si>
    <t>Instalación de zapatas Puesta a Tierra</t>
  </si>
  <si>
    <t>Conexión de lamparas</t>
  </si>
  <si>
    <t>Instalación de soporteria</t>
  </si>
  <si>
    <t>Habilitado de charofill  8"</t>
  </si>
  <si>
    <t>Instalación de charofill  8"</t>
  </si>
  <si>
    <t>Instalaciónde cable desnudo decobre 2/0 awg</t>
  </si>
  <si>
    <t>Peinado y conformado de alimentador neumatico</t>
  </si>
  <si>
    <t>Instalación de medidor de temp TI017</t>
  </si>
  <si>
    <t>Integración y peinado de circuitos a QO</t>
  </si>
  <si>
    <t>Conexión a valvulas</t>
  </si>
  <si>
    <t>Peinado y conformado de circuitos 3170 m</t>
  </si>
  <si>
    <t>Instalación de QO trifasico 127v/ 125A</t>
  </si>
  <si>
    <t>Habilitado de soporteria para charofill</t>
  </si>
  <si>
    <t>instalación de soporteria  para charofill</t>
  </si>
  <si>
    <t>LSA-03</t>
  </si>
  <si>
    <t>----------</t>
  </si>
  <si>
    <t>UV-075</t>
  </si>
  <si>
    <t>US-123</t>
  </si>
  <si>
    <t>MOTOR SOLO-RUN</t>
  </si>
  <si>
    <t>UV-068</t>
  </si>
  <si>
    <t>EVK-2</t>
  </si>
  <si>
    <t>VALVULA</t>
  </si>
  <si>
    <t>SEGURIDAD</t>
  </si>
  <si>
    <t>NO SE VA INSTALAR</t>
  </si>
  <si>
    <t>AGOSTO</t>
  </si>
  <si>
    <t>SEPTIEMBRE</t>
  </si>
  <si>
    <t>OCTUBRE</t>
  </si>
  <si>
    <t>NOVIEMBRE</t>
  </si>
  <si>
    <t>DICIEMBRE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</si>
  <si>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</si>
  <si>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</si>
  <si>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</si>
  <si>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</si>
  <si>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</si>
  <si>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</si>
  <si>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</si>
  <si>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</si>
  <si>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</si>
  <si>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</si>
  <si>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</si>
  <si>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</si>
  <si>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</si>
  <si>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</si>
  <si>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</si>
  <si>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L</t>
  </si>
  <si>
    <t>J</t>
  </si>
  <si>
    <t>V</t>
  </si>
  <si>
    <t>S</t>
  </si>
  <si>
    <t>D</t>
  </si>
  <si>
    <t>14 de Agosto del 2025</t>
  </si>
  <si>
    <t>Se detiene actividad 05:00 pm a 06:00 pm por presencia de gas en el area de trabajo RC-14000</t>
  </si>
  <si>
    <t>INICIO</t>
  </si>
  <si>
    <t>FIN</t>
  </si>
  <si>
    <t>12 de Agosto del 2025</t>
  </si>
  <si>
    <t>13 de Agosto del 2025</t>
  </si>
  <si>
    <t>Inicio de actividades por liberación de permisos</t>
  </si>
  <si>
    <t>Falta de material</t>
  </si>
  <si>
    <t>15 de Agosto del 2025</t>
  </si>
  <si>
    <t>Se detiene actividad 09:10 am a 09:37 am por presencia de gas en el area de trabajo RC-14000</t>
  </si>
  <si>
    <t>18 de Agosto del 2025</t>
  </si>
  <si>
    <t>Falta de material por suministrar</t>
  </si>
  <si>
    <t>20 de Agosto del 2025</t>
  </si>
  <si>
    <t>Presencia de lluvia en el area de trabajo</t>
  </si>
  <si>
    <t>25 de Agosto del 2025</t>
  </si>
  <si>
    <t>Falta de suministro electrico en planta, lo cual lleva al retiro del personal del area de trabajo.</t>
  </si>
  <si>
    <t>28 de Agosto del 2025</t>
  </si>
  <si>
    <t>Retiro de personal del RC-14000 N0 y N3 por presencia de gas</t>
  </si>
  <si>
    <t>03 de Septiembre del 2025</t>
  </si>
  <si>
    <t>Apoyo a traslado de gabinetes al CCM, apoyo al ingeniero Victor Ruiz</t>
  </si>
  <si>
    <t>05 de Septiembre del 2025</t>
  </si>
  <si>
    <t>Falta perforación en tanques en Nivel 2, el cual impide la instalación de 2 instrumentos de Temp.</t>
  </si>
  <si>
    <t>Se detienen actividades por presencia de lluvia en el area de trabajo</t>
  </si>
  <si>
    <t>08 de Septiembre del 2025</t>
  </si>
  <si>
    <t>17 de Septiembre del 2025</t>
  </si>
  <si>
    <t>Apoyo a la ing. Luis Reyna con acarreo de instrumentos de Temperaturas y Presión para calibración del taller a la sala de junta de 01:00 pm a 05:00 pm</t>
  </si>
  <si>
    <t>1-Electrico  1-Ayudante</t>
  </si>
  <si>
    <t>18 de Septiembre del 2025</t>
  </si>
  <si>
    <t>Apoyo a la ing. Luis Reyna con acarreo de instrumentos de  medidor de flujo para calibración del taller a la sala de junta de 08:30 am a 06:00 pm</t>
  </si>
  <si>
    <t>19 de Septiembre del 2025</t>
  </si>
  <si>
    <t>Apoyo en trazos y medidas para corte de piso falso en cuarto de CCM</t>
  </si>
  <si>
    <t>Apoyo a la ing. Luis Reyna con identificación y acarreo de instrumentos de  medidor de flujo para calibración del taller a la sala de junta de 08:30 am a 06:00 pm</t>
  </si>
  <si>
    <t>Apoyo a la ing. Luis Reyna para reemplayar los instrumentos instalados en el RC14000 en los distintos niveles, mismos que retiraron para calibración.</t>
  </si>
  <si>
    <t>25 de Septiembre del 2025</t>
  </si>
  <si>
    <t>26 de Septiembre del 2025</t>
  </si>
  <si>
    <t>Ingresan 2 ayudantes al sitio de trabajo, se retiran del area por motivos de seguridad.</t>
  </si>
  <si>
    <t>2-Ayudante</t>
  </si>
  <si>
    <t>01 de Octubre del 2025</t>
  </si>
  <si>
    <t>Se cancelan actividades por interferecnias de trabajos de pailerias en el Nivel 2 del RC14000</t>
  </si>
  <si>
    <t>2 de Octubre del 2025</t>
  </si>
  <si>
    <t>Modificación de Charofill en Nivel 4, se retiro 3 soportes, 1 tramo de charofil de 4", peinado de cable desnudo de cobre 2/0  y cable armado de 2x12 AWG 4 metros de cada uno</t>
  </si>
  <si>
    <t>09 de Octubre del 2025</t>
  </si>
  <si>
    <t>Se detienen actividades por presencia de lluvia en el area de trabajo de 04:30 pm a 05:30 pm</t>
  </si>
  <si>
    <t>Se detienen actividades por presencia de lluvia en el area de trabajo de 13:30 pm a 06:00 pm</t>
  </si>
  <si>
    <t>Reinstalación de Charofill y soporteria en CCM, ya que se desinstalaron para cortar el muro para la llegada de la acometida.</t>
  </si>
  <si>
    <t>Instalación de piso falso, el cual retiraron para cortes de integración de circuitos de los gabinetes</t>
  </si>
  <si>
    <t>13 de Octubre del 2025</t>
  </si>
  <si>
    <t>Se detiene actividad 03:30 pm a 04:55 pm por presencia de gas en el area de trabajo RC-14000</t>
  </si>
  <si>
    <t>16 de Octubre del 2025</t>
  </si>
  <si>
    <t>Se suspenden actividades por parte del cliente, para platica de seguridad 14:30 a 15:00</t>
  </si>
  <si>
    <t>10 de Noviembre del 2025</t>
  </si>
  <si>
    <t>Limitación de trabajos por contratistas en nivel 1 del RC14000, en los trabajos de canalización, cableado de tubing  y cableado de control</t>
  </si>
  <si>
    <t>11 de Noviembre del 2025</t>
  </si>
  <si>
    <t>Se detienen actividades en el RC14000 nivel 1 por la instalacion de flecha de los agitadores por parte del contratista a las 13:30 pm a 16:00 pm</t>
  </si>
  <si>
    <t>12 de Noviembre del 2025</t>
  </si>
  <si>
    <t>Instalación de cable armado de 2x12 AWG  4 metros</t>
  </si>
  <si>
    <t>Se detienen actividades en el RC14000 nivel 1 por la instalacion de flecha de los agitadores por parte del contratista a las 17:00 pm a 18:00 pm</t>
  </si>
  <si>
    <t>COMISIONING</t>
  </si>
  <si>
    <t>21 de Noviembre del 2025</t>
  </si>
  <si>
    <t>Desinstalación de soportes en nivel 3  8 piezas</t>
  </si>
  <si>
    <t>25 de Noviembre del 2025</t>
  </si>
  <si>
    <t>Emplayado de instrumentos, por apertura del cliente para comisionamiento</t>
  </si>
  <si>
    <t>Se detienen actividades por presencia de lluvia en el area de trabajo RC14000  Durante todo el dia</t>
  </si>
  <si>
    <t>27 de Noviembre del 2025</t>
  </si>
  <si>
    <t>28 de Noviembre del 2025</t>
  </si>
  <si>
    <t>02 de Diciembre del 2025</t>
  </si>
  <si>
    <t>Se suspenden actividades por presencia del MONOXIDO en los niveles del RC14000</t>
  </si>
  <si>
    <t>Reinstalación de posicionador de valvula US098 Y US096 A peticion del cliente.</t>
  </si>
  <si>
    <t>Se suspenden actividades en Nivel 3 y 4 por presencia del gases en RC14000</t>
  </si>
  <si>
    <t>Reinstalación de trasmisor de flujo FI011 Y reeconexión,  A peticion del cliente.</t>
  </si>
  <si>
    <t>10 de Diciembre del 2025</t>
  </si>
  <si>
    <t>09 de Diciembre del 2025</t>
  </si>
  <si>
    <t>04 de Diciembre del 2025</t>
  </si>
  <si>
    <t>03 de Diciembre del 2025</t>
  </si>
  <si>
    <t>Se suspenden actividades en Nivel 4 y 5 por presencia del gases en RC14000</t>
  </si>
  <si>
    <t>Manuel Rosales y Walter de la cruz se retiran del area por malestar y dolor de cabeza intenso por la presencia del gases en RC14000 se presentaron a servicio medico.</t>
  </si>
  <si>
    <t>11 de Diciembre del 2025</t>
  </si>
  <si>
    <t>LISTO</t>
  </si>
  <si>
    <t>FQIS003</t>
  </si>
  <si>
    <t>5 de Diciembre del 2025</t>
  </si>
  <si>
    <t>1-Electrico  3-Ayudante</t>
  </si>
  <si>
    <t>PERSONAL</t>
  </si>
  <si>
    <t>TOTAL_REAL</t>
  </si>
  <si>
    <t>TOTAL_PROG</t>
  </si>
  <si>
    <t>TOTAL_DESFASE</t>
  </si>
  <si>
    <t>15 de Diciembre del 2025</t>
  </si>
  <si>
    <t>No se autoriza trabajos en el Nivel 5 Por condiciones climatologicas</t>
  </si>
  <si>
    <t>13 de Diciembre del 2025</t>
  </si>
  <si>
    <t>EHS</t>
  </si>
  <si>
    <t>Reubicacipon de Lampara en RC14000 en Nivel 2  (2 Luminarias)</t>
  </si>
  <si>
    <t>Ubicación</t>
  </si>
  <si>
    <t>instalado en Planta</t>
  </si>
  <si>
    <t>PRUEBAs</t>
  </si>
  <si>
    <t>Cantidad de cable (m)</t>
  </si>
  <si>
    <t>Información que debe ir llenado el supervisor en planta a medida que se completa la actividad</t>
  </si>
  <si>
    <t>Servicio que cumple</t>
  </si>
  <si>
    <t>DATOS QUE DEBE CONTENER LA TABLA QUE VA A SUBIR EL ADMINSITRADOR CUANDO SE DEFINE UN PROYECTO</t>
  </si>
  <si>
    <t>FUNCIONAMIENTO DE VALVULA</t>
  </si>
  <si>
    <t>Tipo DE VALVULA</t>
  </si>
  <si>
    <t>FALLA</t>
  </si>
  <si>
    <t>Nivel 0</t>
  </si>
  <si>
    <t>Nivel 3</t>
  </si>
  <si>
    <t>Nivel 2</t>
  </si>
  <si>
    <t>Nivel 4</t>
  </si>
  <si>
    <t>Nivel 5</t>
  </si>
  <si>
    <t>UBICACIÓN</t>
  </si>
  <si>
    <t>COLECTOR 2</t>
  </si>
  <si>
    <t>Cable instalado [m]</t>
  </si>
  <si>
    <t>DATOS QUE DEBE CONTENER LA TABLA QUE VA A SUBIR EL ADMINIsTRADOR CUANDO SE DEFINE UN PROYECTO</t>
  </si>
  <si>
    <t>INFORMACIÓN QUE VA A LLENAR EL SUPERVISOR EN PLANTA</t>
  </si>
  <si>
    <t>Tipo de VARIABLE</t>
  </si>
  <si>
    <t>Equipo asociado al Instrumento</t>
  </si>
  <si>
    <t>Servicio que suple</t>
  </si>
  <si>
    <t>INFORMACIÓN QUE SUBE EL ADMISNITRADOR AL INICIO DEL PROYECTO</t>
  </si>
  <si>
    <t>INFORMACIÓN QUE VA INSTRODUCIENDO EL SUPERVISOR EN PLANTA</t>
  </si>
  <si>
    <t>Cantidad de Cable [m]</t>
  </si>
  <si>
    <t>INSTALACIÓN NEUMÁTICA</t>
  </si>
  <si>
    <t>INSTALACIÓN DE CONTROL</t>
  </si>
  <si>
    <t>NOTAS</t>
  </si>
  <si>
    <t>PRUEBAS</t>
  </si>
  <si>
    <t>COMISIONAMIENTO</t>
  </si>
  <si>
    <t>Peinado y Cinchado</t>
  </si>
  <si>
    <t>CONEXIÓN y etiquetado en planta</t>
  </si>
  <si>
    <t>CONEXIÓN y etiquetado en tablero</t>
  </si>
  <si>
    <t>Peinado y Cinchado de cable</t>
  </si>
  <si>
    <t>Cable NEUMATICO (tubing) Instalado  [m]</t>
  </si>
  <si>
    <t>CONEXIÓN y etiquetado EN PLANTA</t>
  </si>
  <si>
    <t>CONEXIÓN y etiquetado MANINFOLD</t>
  </si>
  <si>
    <t>CABLEADO NEUMATICO (tubing/manguera)</t>
  </si>
  <si>
    <t xml:space="preserve">pinado y cinchado </t>
  </si>
  <si>
    <t>CONEXIÓN Y ETIQUETADO EN PLANTA</t>
  </si>
  <si>
    <t>CONEXIÓN Y ETIQUETADO EN TABLERO</t>
  </si>
  <si>
    <t>Peinado y cinchado</t>
  </si>
  <si>
    <t>CONEXIÓN y etiquetado motor</t>
  </si>
  <si>
    <t>CONEXIÓN Y ETIQUETADO CCM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</si>
</sst>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MS Sans Serif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8"/>
      <name val="Arial Narrow"/>
      <family val="2"/>
    </font>
    <font>
      <sz val="7.5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theme="0"/>
      <name val="Arial Nova"/>
      <family val="2"/>
    </font>
    <font>
      <sz val="10"/>
      <color theme="1"/>
      <name val="Aptos Narrow"/>
      <family val="2"/>
      <scheme val="minor"/>
    </font>
    <font>
      <sz val="9"/>
      <color theme="1"/>
      <name val="Arial Nova"/>
      <family val="2"/>
    </font>
    <font>
      <b/>
      <sz val="10"/>
      <color theme="1"/>
      <name val="Arial Nova"/>
      <family val="2"/>
    </font>
    <font>
      <sz val="8"/>
      <color theme="1"/>
      <name val="Arial Nova"/>
      <family val="2"/>
    </font>
    <font>
      <sz val="10"/>
      <color theme="1"/>
      <name val="Arial"/>
      <family val="2"/>
    </font>
    <font>
      <sz val="9"/>
      <name val="Arial Nova"/>
      <family val="2"/>
    </font>
    <font>
      <b/>
      <sz val="9"/>
      <color theme="1"/>
      <name val="Arial Nova"/>
      <family val="2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9"/>
      <color theme="0"/>
      <name val="Arial Nova"/>
      <family val="2"/>
    </font>
    <font>
      <b/>
      <sz val="22"/>
      <color theme="1"/>
      <name val="Aptos Narrow"/>
      <family val="2"/>
      <scheme val="minor"/>
    </font>
    <font>
      <sz val="12"/>
      <color theme="0"/>
      <name val="Arial"/>
      <family val="2"/>
    </font>
    <font>
      <b/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8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1"/>
        <bgColor indexed="64"/>
      </patternFill>
    </fill>
  </fills>
  <borders count="71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9" fillId="0" borderId="0"/>
    <xf numFmtId="0" fontId="24" fillId="0" borderId="0"/>
  </cellStyleXfs>
  <cellXfs count="319">
    <xf numFmtId="0" fontId="0" fillId="0" borderId="0" xfId="0"/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2" fillId="0" borderId="13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/>
    </xf>
    <xf numFmtId="9" fontId="0" fillId="0" borderId="16" xfId="1" applyFont="1" applyBorder="1" applyAlignment="1">
      <alignment horizontal="center" vertical="center"/>
    </xf>
    <xf numFmtId="9" fontId="0" fillId="0" borderId="17" xfId="1" applyFont="1" applyBorder="1" applyAlignment="1">
      <alignment horizontal="center" vertical="center"/>
    </xf>
    <xf numFmtId="9" fontId="0" fillId="0" borderId="18" xfId="1" applyFont="1" applyBorder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7" fillId="0" borderId="0" xfId="0" applyFont="1"/>
    <xf numFmtId="0" fontId="2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5" fillId="0" borderId="0" xfId="1" applyFont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2" fontId="7" fillId="0" borderId="0" xfId="0" applyNumberFormat="1" applyFont="1"/>
    <xf numFmtId="0" fontId="2" fillId="2" borderId="9" xfId="0" applyFont="1" applyFill="1" applyBorder="1" applyAlignment="1">
      <alignment horizontal="center"/>
    </xf>
    <xf numFmtId="0" fontId="2" fillId="0" borderId="21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0" fillId="0" borderId="0" xfId="2" applyFont="1"/>
    <xf numFmtId="0" fontId="10" fillId="0" borderId="25" xfId="2" applyFont="1" applyBorder="1"/>
    <xf numFmtId="0" fontId="10" fillId="0" borderId="25" xfId="2" applyFont="1" applyBorder="1" applyAlignment="1">
      <alignment horizontal="center"/>
    </xf>
    <xf numFmtId="0" fontId="10" fillId="0" borderId="0" xfId="2" applyFont="1" applyAlignment="1">
      <alignment horizontal="center"/>
    </xf>
    <xf numFmtId="0" fontId="10" fillId="0" borderId="0" xfId="2" applyFont="1" applyAlignment="1">
      <alignment horizontal="left"/>
    </xf>
    <xf numFmtId="0" fontId="12" fillId="11" borderId="0" xfId="2" applyFont="1" applyFill="1" applyAlignment="1">
      <alignment horizontal="left" vertical="center"/>
    </xf>
    <xf numFmtId="0" fontId="13" fillId="0" borderId="0" xfId="2" applyFont="1" applyAlignment="1">
      <alignment horizontal="center"/>
    </xf>
    <xf numFmtId="0" fontId="12" fillId="0" borderId="0" xfId="2" applyFont="1" applyAlignment="1">
      <alignment horizontal="left"/>
    </xf>
    <xf numFmtId="3" fontId="13" fillId="0" borderId="0" xfId="2" applyNumberFormat="1" applyFont="1" applyAlignment="1">
      <alignment horizontal="left"/>
    </xf>
    <xf numFmtId="0" fontId="13" fillId="0" borderId="0" xfId="2" applyFont="1"/>
    <xf numFmtId="0" fontId="13" fillId="0" borderId="0" xfId="2" applyFont="1" applyAlignment="1">
      <alignment horizontal="left"/>
    </xf>
    <xf numFmtId="0" fontId="10" fillId="11" borderId="0" xfId="2" applyFont="1" applyFill="1" applyAlignment="1">
      <alignment horizontal="center" vertical="center"/>
    </xf>
    <xf numFmtId="0" fontId="12" fillId="12" borderId="0" xfId="2" applyFont="1" applyFill="1" applyAlignment="1">
      <alignment horizontal="left"/>
    </xf>
    <xf numFmtId="0" fontId="13" fillId="12" borderId="0" xfId="2" applyFont="1" applyFill="1" applyAlignment="1">
      <alignment horizontal="left"/>
    </xf>
    <xf numFmtId="0" fontId="12" fillId="0" borderId="0" xfId="2" applyFont="1" applyAlignment="1">
      <alignment horizontal="center"/>
    </xf>
    <xf numFmtId="14" fontId="10" fillId="0" borderId="0" xfId="2" applyNumberFormat="1" applyFont="1" applyAlignment="1">
      <alignment horizontal="center"/>
    </xf>
    <xf numFmtId="0" fontId="14" fillId="0" borderId="0" xfId="2" applyFont="1"/>
    <xf numFmtId="0" fontId="15" fillId="13" borderId="22" xfId="2" applyFont="1" applyFill="1" applyBorder="1" applyAlignment="1">
      <alignment horizontal="center" vertical="center"/>
    </xf>
    <xf numFmtId="0" fontId="15" fillId="13" borderId="22" xfId="2" applyFont="1" applyFill="1" applyBorder="1" applyAlignment="1">
      <alignment horizontal="center" vertical="center" wrapText="1"/>
    </xf>
    <xf numFmtId="0" fontId="16" fillId="0" borderId="0" xfId="2" applyFont="1" applyAlignment="1">
      <alignment vertical="top"/>
    </xf>
    <xf numFmtId="164" fontId="17" fillId="0" borderId="22" xfId="2" applyNumberFormat="1" applyFont="1" applyBorder="1" applyAlignment="1">
      <alignment horizontal="center" vertical="center"/>
    </xf>
    <xf numFmtId="0" fontId="17" fillId="0" borderId="27" xfId="2" applyFont="1" applyBorder="1" applyAlignment="1">
      <alignment horizontal="center" vertical="center" wrapText="1"/>
    </xf>
    <xf numFmtId="0" fontId="17" fillId="0" borderId="22" xfId="2" applyFont="1" applyBorder="1" applyAlignment="1">
      <alignment horizontal="center" vertical="center" wrapText="1"/>
    </xf>
    <xf numFmtId="0" fontId="17" fillId="0" borderId="27" xfId="2" applyFont="1" applyBorder="1" applyAlignment="1">
      <alignment horizontal="center" vertical="center"/>
    </xf>
    <xf numFmtId="0" fontId="17" fillId="0" borderId="22" xfId="2" applyFont="1" applyBorder="1" applyAlignment="1">
      <alignment horizontal="center" vertical="center"/>
    </xf>
    <xf numFmtId="0" fontId="18" fillId="0" borderId="27" xfId="2" applyFont="1" applyBorder="1" applyAlignment="1">
      <alignment horizontal="center" vertical="center"/>
    </xf>
    <xf numFmtId="164" fontId="17" fillId="0" borderId="27" xfId="2" applyNumberFormat="1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0" fillId="12" borderId="0" xfId="2" applyFont="1" applyFill="1" applyAlignment="1">
      <alignment horizontal="center" vertical="center"/>
    </xf>
    <xf numFmtId="0" fontId="20" fillId="0" borderId="0" xfId="0" applyFont="1"/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3" fillId="0" borderId="34" xfId="0" applyFont="1" applyBorder="1" applyAlignment="1">
      <alignment horizontal="left" vertical="center"/>
    </xf>
    <xf numFmtId="0" fontId="21" fillId="0" borderId="34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0" xfId="0" applyFont="1"/>
    <xf numFmtId="0" fontId="6" fillId="0" borderId="37" xfId="0" applyFont="1" applyBorder="1" applyAlignment="1">
      <alignment horizontal="center" vertical="center"/>
    </xf>
    <xf numFmtId="0" fontId="23" fillId="0" borderId="27" xfId="0" applyFont="1" applyBorder="1" applyAlignment="1">
      <alignment horizontal="left" vertical="center"/>
    </xf>
    <xf numFmtId="0" fontId="21" fillId="0" borderId="2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21" fillId="0" borderId="37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left" vertical="center"/>
    </xf>
    <xf numFmtId="0" fontId="21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21" fillId="0" borderId="42" xfId="0" applyFont="1" applyBorder="1" applyAlignment="1">
      <alignment horizontal="center" vertical="center"/>
    </xf>
    <xf numFmtId="0" fontId="25" fillId="0" borderId="43" xfId="3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3" fillId="0" borderId="24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44" xfId="0" applyFont="1" applyBorder="1" applyAlignment="1">
      <alignment horizontal="center" vertical="center"/>
    </xf>
    <xf numFmtId="0" fontId="25" fillId="0" borderId="29" xfId="3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5" fillId="0" borderId="45" xfId="3" applyFont="1" applyBorder="1" applyAlignment="1">
      <alignment horizontal="center" vertical="center"/>
    </xf>
    <xf numFmtId="0" fontId="23" fillId="0" borderId="24" xfId="3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6" fillId="0" borderId="44" xfId="0" applyFont="1" applyBorder="1" applyAlignment="1">
      <alignment horizontal="center"/>
    </xf>
    <xf numFmtId="0" fontId="21" fillId="0" borderId="27" xfId="3" applyFont="1" applyBorder="1" applyAlignment="1">
      <alignment horizontal="center" vertical="center"/>
    </xf>
    <xf numFmtId="0" fontId="23" fillId="0" borderId="27" xfId="3" applyFont="1" applyBorder="1" applyAlignment="1">
      <alignment horizontal="left" vertical="center"/>
    </xf>
    <xf numFmtId="0" fontId="26" fillId="16" borderId="27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/>
    </xf>
    <xf numFmtId="0" fontId="21" fillId="0" borderId="40" xfId="3" applyFont="1" applyBorder="1" applyAlignment="1">
      <alignment horizontal="center" vertical="center"/>
    </xf>
    <xf numFmtId="0" fontId="23" fillId="0" borderId="40" xfId="3" applyFont="1" applyBorder="1" applyAlignment="1">
      <alignment horizontal="left" vertical="center"/>
    </xf>
    <xf numFmtId="0" fontId="6" fillId="0" borderId="47" xfId="0" applyFont="1" applyBorder="1" applyAlignment="1">
      <alignment horizontal="center"/>
    </xf>
    <xf numFmtId="0" fontId="21" fillId="0" borderId="33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left" vertical="center" wrapText="1"/>
    </xf>
    <xf numFmtId="0" fontId="21" fillId="0" borderId="48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left" vertical="center" wrapText="1"/>
    </xf>
    <xf numFmtId="0" fontId="21" fillId="0" borderId="46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16" fillId="0" borderId="27" xfId="2" applyFont="1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2" fillId="0" borderId="14" xfId="1" applyFont="1" applyBorder="1" applyAlignment="1">
      <alignment horizontal="center" vertical="center"/>
    </xf>
    <xf numFmtId="9" fontId="2" fillId="0" borderId="10" xfId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2" fillId="0" borderId="15" xfId="1" applyFont="1" applyBorder="1" applyAlignment="1">
      <alignment horizontal="center" vertical="center"/>
    </xf>
    <xf numFmtId="9" fontId="2" fillId="0" borderId="16" xfId="1" applyFont="1" applyBorder="1" applyAlignment="1">
      <alignment horizontal="center" vertical="center"/>
    </xf>
    <xf numFmtId="9" fontId="2" fillId="0" borderId="17" xfId="1" applyFont="1" applyBorder="1" applyAlignment="1">
      <alignment horizontal="center" vertical="center"/>
    </xf>
    <xf numFmtId="9" fontId="2" fillId="0" borderId="18" xfId="1" applyFont="1" applyBorder="1" applyAlignment="1">
      <alignment horizontal="center" vertical="center"/>
    </xf>
    <xf numFmtId="0" fontId="26" fillId="16" borderId="22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8" fillId="21" borderId="19" xfId="0" applyFont="1" applyFill="1" applyBorder="1" applyAlignment="1">
      <alignment horizontal="center"/>
    </xf>
    <xf numFmtId="0" fontId="8" fillId="21" borderId="24" xfId="0" applyFont="1" applyFill="1" applyBorder="1" applyAlignment="1">
      <alignment horizontal="center"/>
    </xf>
    <xf numFmtId="0" fontId="8" fillId="21" borderId="26" xfId="0" applyFont="1" applyFill="1" applyBorder="1" applyAlignment="1">
      <alignment horizontal="center"/>
    </xf>
    <xf numFmtId="0" fontId="30" fillId="7" borderId="29" xfId="0" applyFont="1" applyFill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28" xfId="0" applyFont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2" borderId="29" xfId="0" applyFont="1" applyFill="1" applyBorder="1" applyAlignment="1">
      <alignment horizontal="center"/>
    </xf>
    <xf numFmtId="0" fontId="30" fillId="22" borderId="28" xfId="0" applyFont="1" applyFill="1" applyBorder="1" applyAlignment="1">
      <alignment horizontal="center"/>
    </xf>
    <xf numFmtId="0" fontId="31" fillId="0" borderId="0" xfId="0" applyFont="1"/>
    <xf numFmtId="0" fontId="30" fillId="0" borderId="27" xfId="0" quotePrefix="1" applyFont="1" applyBorder="1" applyAlignment="1">
      <alignment horizontal="center"/>
    </xf>
    <xf numFmtId="0" fontId="6" fillId="22" borderId="0" xfId="0" applyFont="1" applyFill="1"/>
    <xf numFmtId="0" fontId="4" fillId="22" borderId="0" xfId="0" applyFont="1" applyFill="1"/>
    <xf numFmtId="0" fontId="31" fillId="7" borderId="29" xfId="0" applyFont="1" applyFill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31" fillId="0" borderId="28" xfId="0" applyFont="1" applyBorder="1" applyAlignment="1">
      <alignment horizontal="center"/>
    </xf>
    <xf numFmtId="0" fontId="30" fillId="7" borderId="45" xfId="0" applyFont="1" applyFill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30" fillId="0" borderId="55" xfId="0" applyFont="1" applyBorder="1" applyAlignment="1">
      <alignment horizontal="center"/>
    </xf>
    <xf numFmtId="0" fontId="21" fillId="0" borderId="28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6" xfId="0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30" fillId="6" borderId="29" xfId="0" applyFont="1" applyFill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21" fillId="6" borderId="27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1" fillId="16" borderId="27" xfId="0" applyFont="1" applyFill="1" applyBorder="1" applyAlignment="1">
      <alignment horizontal="center" vertical="center" wrapText="1"/>
    </xf>
    <xf numFmtId="14" fontId="0" fillId="0" borderId="0" xfId="0" applyNumberFormat="1"/>
    <xf numFmtId="0" fontId="30" fillId="0" borderId="29" xfId="0" applyFont="1" applyBorder="1" applyAlignment="1">
      <alignment horizontal="center"/>
    </xf>
    <xf numFmtId="0" fontId="33" fillId="0" borderId="0" xfId="0" applyFont="1"/>
    <xf numFmtId="0" fontId="0" fillId="0" borderId="48" xfId="0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1" fillId="0" borderId="56" xfId="0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/>
    </xf>
    <xf numFmtId="0" fontId="23" fillId="0" borderId="22" xfId="3" applyFont="1" applyBorder="1" applyAlignment="1">
      <alignment horizontal="left" vertical="center"/>
    </xf>
    <xf numFmtId="0" fontId="21" fillId="0" borderId="25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6" fillId="16" borderId="23" xfId="0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21" fillId="0" borderId="26" xfId="0" applyFont="1" applyBorder="1" applyAlignment="1">
      <alignment horizontal="center" vertical="center"/>
    </xf>
    <xf numFmtId="14" fontId="4" fillId="0" borderId="53" xfId="0" applyNumberFormat="1" applyFont="1" applyBorder="1" applyAlignment="1">
      <alignment horizontal="center"/>
    </xf>
    <xf numFmtId="0" fontId="35" fillId="21" borderId="24" xfId="0" applyFont="1" applyFill="1" applyBorder="1" applyAlignment="1">
      <alignment horizontal="left"/>
    </xf>
    <xf numFmtId="0" fontId="19" fillId="21" borderId="54" xfId="0" applyFont="1" applyFill="1" applyBorder="1" applyAlignment="1">
      <alignment horizontal="center" vertical="center"/>
    </xf>
    <xf numFmtId="0" fontId="35" fillId="21" borderId="24" xfId="0" applyFont="1" applyFill="1" applyBorder="1" applyAlignment="1">
      <alignment horizontal="center"/>
    </xf>
    <xf numFmtId="0" fontId="35" fillId="21" borderId="43" xfId="0" applyFont="1" applyFill="1" applyBorder="1" applyAlignment="1">
      <alignment horizontal="center"/>
    </xf>
    <xf numFmtId="0" fontId="36" fillId="14" borderId="31" xfId="0" applyFont="1" applyFill="1" applyBorder="1" applyAlignment="1">
      <alignment horizontal="left" vertical="center"/>
    </xf>
    <xf numFmtId="0" fontId="36" fillId="14" borderId="56" xfId="0" applyFont="1" applyFill="1" applyBorder="1" applyAlignment="1">
      <alignment horizontal="left" vertical="center"/>
    </xf>
    <xf numFmtId="0" fontId="36" fillId="14" borderId="55" xfId="0" applyFont="1" applyFill="1" applyBorder="1" applyAlignment="1">
      <alignment horizontal="left" vertical="center"/>
    </xf>
    <xf numFmtId="0" fontId="36" fillId="14" borderId="22" xfId="0" applyFont="1" applyFill="1" applyBorder="1" applyAlignment="1">
      <alignment horizontal="left" vertical="center"/>
    </xf>
    <xf numFmtId="0" fontId="36" fillId="14" borderId="45" xfId="0" applyFont="1" applyFill="1" applyBorder="1" applyAlignment="1">
      <alignment horizontal="left" vertical="center"/>
    </xf>
    <xf numFmtId="0" fontId="36" fillId="14" borderId="25" xfId="0" applyFont="1" applyFill="1" applyBorder="1" applyAlignment="1">
      <alignment horizontal="left" vertical="center"/>
    </xf>
    <xf numFmtId="0" fontId="36" fillId="14" borderId="9" xfId="0" applyFont="1" applyFill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1" fillId="6" borderId="24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left" vertical="center"/>
    </xf>
    <xf numFmtId="0" fontId="0" fillId="16" borderId="0" xfId="0" applyFill="1"/>
    <xf numFmtId="0" fontId="6" fillId="0" borderId="27" xfId="0" applyFont="1" applyBorder="1" applyAlignment="1">
      <alignment horizontal="center" vertical="center"/>
    </xf>
    <xf numFmtId="0" fontId="30" fillId="16" borderId="29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0" fillId="24" borderId="27" xfId="0" quotePrefix="1" applyFont="1" applyFill="1" applyBorder="1" applyAlignment="1">
      <alignment horizontal="center"/>
    </xf>
    <xf numFmtId="0" fontId="17" fillId="6" borderId="27" xfId="2" applyFont="1" applyFill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/>
    </xf>
    <xf numFmtId="0" fontId="30" fillId="0" borderId="45" xfId="0" applyFont="1" applyBorder="1" applyAlignment="1">
      <alignment horizontal="center"/>
    </xf>
    <xf numFmtId="0" fontId="30" fillId="0" borderId="52" xfId="0" applyFont="1" applyBorder="1" applyAlignment="1">
      <alignment horizontal="center"/>
    </xf>
    <xf numFmtId="0" fontId="30" fillId="24" borderId="29" xfId="0" quotePrefix="1" applyFont="1" applyFill="1" applyBorder="1" applyAlignment="1">
      <alignment horizontal="center"/>
    </xf>
    <xf numFmtId="0" fontId="30" fillId="0" borderId="43" xfId="0" applyFont="1" applyBorder="1" applyAlignment="1">
      <alignment horizontal="center"/>
    </xf>
    <xf numFmtId="0" fontId="30" fillId="24" borderId="68" xfId="0" quotePrefix="1" applyFont="1" applyFill="1" applyBorder="1" applyAlignment="1">
      <alignment horizontal="center"/>
    </xf>
    <xf numFmtId="0" fontId="36" fillId="17" borderId="24" xfId="0" applyFont="1" applyFill="1" applyBorder="1" applyAlignment="1">
      <alignment horizontal="center" vertical="center"/>
    </xf>
    <xf numFmtId="0" fontId="36" fillId="17" borderId="27" xfId="0" applyFont="1" applyFill="1" applyBorder="1" applyAlignment="1">
      <alignment horizontal="center" vertical="center"/>
    </xf>
    <xf numFmtId="0" fontId="36" fillId="17" borderId="27" xfId="0" applyFont="1" applyFill="1" applyBorder="1" applyAlignment="1">
      <alignment horizontal="center" vertical="center" wrapText="1"/>
    </xf>
    <xf numFmtId="0" fontId="30" fillId="6" borderId="29" xfId="0" quotePrefix="1" applyFont="1" applyFill="1" applyBorder="1" applyAlignment="1">
      <alignment horizontal="center"/>
    </xf>
    <xf numFmtId="0" fontId="21" fillId="25" borderId="27" xfId="0" applyFont="1" applyFill="1" applyBorder="1" applyAlignment="1">
      <alignment horizontal="center" vertical="center"/>
    </xf>
    <xf numFmtId="0" fontId="6" fillId="25" borderId="27" xfId="0" applyFont="1" applyFill="1" applyBorder="1" applyAlignment="1">
      <alignment horizontal="center" vertical="center"/>
    </xf>
    <xf numFmtId="0" fontId="21" fillId="6" borderId="40" xfId="0" applyFont="1" applyFill="1" applyBorder="1" applyAlignment="1">
      <alignment horizontal="center" vertical="center" wrapText="1"/>
    </xf>
    <xf numFmtId="0" fontId="6" fillId="17" borderId="27" xfId="0" applyFont="1" applyFill="1" applyBorder="1" applyAlignment="1">
      <alignment horizontal="center" vertical="center"/>
    </xf>
    <xf numFmtId="0" fontId="30" fillId="26" borderId="29" xfId="0" applyFont="1" applyFill="1" applyBorder="1" applyAlignment="1">
      <alignment horizontal="center"/>
    </xf>
    <xf numFmtId="0" fontId="30" fillId="26" borderId="22" xfId="0" applyFont="1" applyFill="1" applyBorder="1" applyAlignment="1">
      <alignment horizontal="center"/>
    </xf>
    <xf numFmtId="0" fontId="6" fillId="0" borderId="0" xfId="0" applyFont="1" applyAlignment="1">
      <alignment textRotation="90"/>
    </xf>
    <xf numFmtId="15" fontId="6" fillId="0" borderId="0" xfId="0" applyNumberFormat="1" applyFont="1" applyAlignment="1">
      <alignment textRotation="90"/>
    </xf>
    <xf numFmtId="15" fontId="30" fillId="27" borderId="0" xfId="0" applyNumberFormat="1" applyFont="1" applyFill="1" applyAlignment="1">
      <alignment textRotation="90"/>
    </xf>
    <xf numFmtId="0" fontId="0" fillId="0" borderId="0" xfId="0" quotePrefix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18" fontId="6" fillId="0" borderId="0" xfId="0" applyNumberFormat="1" applyFont="1"/>
    <xf numFmtId="46" fontId="6" fillId="0" borderId="0" xfId="0" applyNumberFormat="1" applyFont="1" applyAlignment="1">
      <alignment horizontal="center" vertical="center"/>
    </xf>
    <xf numFmtId="18" fontId="6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35" fillId="21" borderId="27" xfId="0" applyFont="1" applyFill="1" applyBorder="1" applyAlignment="1">
      <alignment horizontal="left"/>
    </xf>
    <xf numFmtId="46" fontId="6" fillId="0" borderId="0" xfId="0" applyNumberFormat="1" applyFont="1" applyAlignment="1">
      <alignment horizontal="center"/>
    </xf>
    <xf numFmtId="46" fontId="4" fillId="0" borderId="0" xfId="0" applyNumberFormat="1" applyFont="1" applyAlignment="1">
      <alignment horizontal="center"/>
    </xf>
    <xf numFmtId="46" fontId="6" fillId="0" borderId="0" xfId="0" applyNumberFormat="1" applyFont="1"/>
    <xf numFmtId="0" fontId="3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6" fillId="6" borderId="34" xfId="0" applyFont="1" applyFill="1" applyBorder="1" applyAlignment="1">
      <alignment horizontal="center" vertical="center" wrapText="1"/>
    </xf>
    <xf numFmtId="0" fontId="30" fillId="17" borderId="29" xfId="0" applyFont="1" applyFill="1" applyBorder="1" applyAlignment="1">
      <alignment horizontal="center"/>
    </xf>
    <xf numFmtId="0" fontId="26" fillId="6" borderId="40" xfId="0" applyFont="1" applyFill="1" applyBorder="1" applyAlignment="1">
      <alignment horizontal="center" vertical="center"/>
    </xf>
    <xf numFmtId="0" fontId="10" fillId="11" borderId="0" xfId="2" applyFont="1" applyFill="1" applyAlignment="1">
      <alignment horizontal="left" vertical="center"/>
    </xf>
    <xf numFmtId="0" fontId="22" fillId="15" borderId="49" xfId="0" applyFont="1" applyFill="1" applyBorder="1" applyAlignment="1">
      <alignment vertical="center" wrapText="1"/>
    </xf>
    <xf numFmtId="0" fontId="22" fillId="18" borderId="23" xfId="0" applyFont="1" applyFill="1" applyBorder="1" applyAlignment="1">
      <alignment vertical="center"/>
    </xf>
    <xf numFmtId="0" fontId="26" fillId="19" borderId="23" xfId="0" applyFont="1" applyFill="1" applyBorder="1" applyAlignment="1">
      <alignment vertical="center"/>
    </xf>
    <xf numFmtId="0" fontId="26" fillId="0" borderId="23" xfId="0" applyFont="1" applyBorder="1" applyAlignment="1">
      <alignment vertical="center"/>
    </xf>
    <xf numFmtId="0" fontId="4" fillId="0" borderId="69" xfId="0" applyFont="1" applyBorder="1" applyAlignment="1">
      <alignment horizontal="center"/>
    </xf>
    <xf numFmtId="0" fontId="30" fillId="0" borderId="50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7" xfId="0" applyFont="1" applyBorder="1" applyAlignment="1">
      <alignment horizontal="center" vertical="center"/>
    </xf>
    <xf numFmtId="0" fontId="16" fillId="0" borderId="27" xfId="2" applyFont="1" applyBorder="1" applyAlignment="1">
      <alignment vertical="top"/>
    </xf>
    <xf numFmtId="0" fontId="35" fillId="21" borderId="24" xfId="0" applyFont="1" applyFill="1" applyBorder="1" applyAlignment="1">
      <alignment horizontal="center" wrapText="1"/>
    </xf>
    <xf numFmtId="0" fontId="30" fillId="6" borderId="45" xfId="0" applyFont="1" applyFill="1" applyBorder="1" applyAlignment="1">
      <alignment horizontal="center"/>
    </xf>
    <xf numFmtId="0" fontId="30" fillId="26" borderId="45" xfId="0" applyFont="1" applyFill="1" applyBorder="1" applyAlignment="1">
      <alignment horizontal="center"/>
    </xf>
    <xf numFmtId="0" fontId="35" fillId="21" borderId="43" xfId="0" applyFont="1" applyFill="1" applyBorder="1" applyAlignment="1">
      <alignment horizontal="center" wrapText="1"/>
    </xf>
    <xf numFmtId="0" fontId="40" fillId="28" borderId="0" xfId="0" applyFont="1" applyFill="1" applyAlignment="1">
      <alignment vertical="center"/>
    </xf>
    <xf numFmtId="0" fontId="30" fillId="24" borderId="68" xfId="0" quotePrefix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5" fillId="21" borderId="53" xfId="0" applyFont="1" applyFill="1" applyBorder="1" applyAlignment="1">
      <alignment horizontal="left"/>
    </xf>
    <xf numFmtId="0" fontId="35" fillId="21" borderId="67" xfId="0" applyFont="1" applyFill="1" applyBorder="1" applyAlignment="1">
      <alignment horizontal="center"/>
    </xf>
    <xf numFmtId="0" fontId="35" fillId="21" borderId="22" xfId="0" applyFont="1" applyFill="1" applyBorder="1" applyAlignment="1">
      <alignment horizontal="center" wrapText="1"/>
    </xf>
    <xf numFmtId="0" fontId="35" fillId="21" borderId="23" xfId="0" applyFont="1" applyFill="1" applyBorder="1" applyAlignment="1">
      <alignment horizontal="left" wrapText="1"/>
    </xf>
    <xf numFmtId="0" fontId="36" fillId="14" borderId="30" xfId="0" applyFont="1" applyFill="1" applyBorder="1" applyAlignment="1">
      <alignment horizontal="center" vertical="center"/>
    </xf>
    <xf numFmtId="0" fontId="36" fillId="14" borderId="31" xfId="0" applyFont="1" applyFill="1" applyBorder="1" applyAlignment="1">
      <alignment horizontal="center" vertical="center"/>
    </xf>
    <xf numFmtId="0" fontId="36" fillId="14" borderId="31" xfId="0" applyFont="1" applyFill="1" applyBorder="1" applyAlignment="1">
      <alignment horizontal="center" vertical="center" wrapText="1"/>
    </xf>
    <xf numFmtId="0" fontId="36" fillId="14" borderId="32" xfId="0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70" xfId="0" applyFont="1" applyBorder="1" applyAlignment="1">
      <alignment horizontal="center"/>
    </xf>
    <xf numFmtId="0" fontId="35" fillId="21" borderId="23" xfId="0" applyFont="1" applyFill="1" applyBorder="1" applyAlignment="1">
      <alignment horizontal="center" wrapText="1"/>
    </xf>
    <xf numFmtId="0" fontId="35" fillId="21" borderId="67" xfId="0" applyFont="1" applyFill="1" applyBorder="1" applyAlignment="1">
      <alignment horizontal="left" wrapText="1"/>
    </xf>
    <xf numFmtId="0" fontId="35" fillId="21" borderId="24" xfId="0" applyFont="1" applyFill="1" applyBorder="1" applyAlignment="1">
      <alignment horizontal="left" wrapText="1"/>
    </xf>
    <xf numFmtId="0" fontId="42" fillId="0" borderId="0" xfId="2" applyFont="1"/>
    <xf numFmtId="0" fontId="10" fillId="0" borderId="0" xfId="2" applyFont="1" applyAlignment="1">
      <alignment horizontal="center"/>
    </xf>
    <xf numFmtId="0" fontId="10" fillId="11" borderId="0" xfId="2" applyFont="1" applyFill="1" applyAlignment="1">
      <alignment horizontal="left" vertical="center"/>
    </xf>
    <xf numFmtId="0" fontId="38" fillId="28" borderId="26" xfId="2" applyFont="1" applyFill="1" applyBorder="1" applyAlignment="1">
      <alignment horizontal="center" wrapText="1"/>
    </xf>
    <xf numFmtId="0" fontId="38" fillId="28" borderId="19" xfId="2" applyFont="1" applyFill="1" applyBorder="1" applyAlignment="1">
      <alignment horizontal="center" wrapText="1"/>
    </xf>
    <xf numFmtId="0" fontId="39" fillId="23" borderId="19" xfId="0" applyFont="1" applyFill="1" applyBorder="1" applyAlignment="1">
      <alignment horizontal="center" wrapText="1"/>
    </xf>
    <xf numFmtId="0" fontId="13" fillId="11" borderId="0" xfId="2" applyFont="1" applyFill="1" applyAlignment="1">
      <alignment horizontal="center" vertical="center"/>
    </xf>
    <xf numFmtId="14" fontId="13" fillId="0" borderId="0" xfId="2" applyNumberFormat="1" applyFont="1" applyAlignment="1">
      <alignment horizontal="center"/>
    </xf>
    <xf numFmtId="0" fontId="11" fillId="0" borderId="0" xfId="2" applyFont="1" applyAlignment="1">
      <alignment horizontal="center" vertical="center"/>
    </xf>
    <xf numFmtId="0" fontId="13" fillId="0" borderId="0" xfId="2" applyFont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48" xfId="0" applyFill="1" applyBorder="1" applyAlignment="1">
      <alignment horizontal="center"/>
    </xf>
    <xf numFmtId="0" fontId="0" fillId="17" borderId="63" xfId="0" applyFill="1" applyBorder="1" applyAlignment="1">
      <alignment horizontal="center"/>
    </xf>
    <xf numFmtId="0" fontId="39" fillId="28" borderId="5" xfId="0" applyFont="1" applyFill="1" applyBorder="1" applyAlignment="1">
      <alignment horizontal="center" vertical="center"/>
    </xf>
    <xf numFmtId="0" fontId="41" fillId="23" borderId="56" xfId="0" applyFont="1" applyFill="1" applyBorder="1" applyAlignment="1">
      <alignment horizontal="center" vertical="center"/>
    </xf>
    <xf numFmtId="0" fontId="41" fillId="23" borderId="0" xfId="0" applyFont="1" applyFill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0" fontId="32" fillId="6" borderId="65" xfId="0" applyFont="1" applyFill="1" applyBorder="1" applyAlignment="1">
      <alignment horizontal="center"/>
    </xf>
    <xf numFmtId="0" fontId="32" fillId="6" borderId="66" xfId="0" applyFont="1" applyFill="1" applyBorder="1" applyAlignment="1">
      <alignment horizontal="center"/>
    </xf>
    <xf numFmtId="0" fontId="32" fillId="4" borderId="65" xfId="0" applyFont="1" applyFill="1" applyBorder="1" applyAlignment="1">
      <alignment horizontal="center"/>
    </xf>
    <xf numFmtId="0" fontId="32" fillId="4" borderId="66" xfId="0" applyFont="1" applyFill="1" applyBorder="1" applyAlignment="1">
      <alignment horizontal="center"/>
    </xf>
    <xf numFmtId="0" fontId="2" fillId="10" borderId="20" xfId="0" applyFont="1" applyFill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 textRotation="90"/>
    </xf>
    <xf numFmtId="0" fontId="8" fillId="9" borderId="23" xfId="0" applyFont="1" applyFill="1" applyBorder="1" applyAlignment="1">
      <alignment horizontal="center" vertical="center" textRotation="90"/>
    </xf>
    <xf numFmtId="0" fontId="8" fillId="9" borderId="24" xfId="0" applyFont="1" applyFill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0" borderId="61" xfId="0" applyFont="1" applyFill="1" applyBorder="1" applyAlignment="1">
      <alignment horizontal="center"/>
    </xf>
    <xf numFmtId="0" fontId="2" fillId="10" borderId="48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37" fillId="0" borderId="5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textRotation="90" wrapText="1"/>
    </xf>
    <xf numFmtId="0" fontId="2" fillId="4" borderId="0" xfId="0" applyFont="1" applyFill="1" applyAlignment="1">
      <alignment horizontal="center" vertical="center" textRotation="90"/>
    </xf>
    <xf numFmtId="0" fontId="2" fillId="4" borderId="0" xfId="0" applyFont="1" applyFill="1" applyAlignment="1">
      <alignment horizontal="center" textRotation="90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</cellXfs>
  <cellStyles count="4">
    <cellStyle name="Normal" xfId="0" builtinId="0"/>
    <cellStyle name="Normal 2" xfId="2" xr:uid="{47780875-D90F-4903-B08B-65B48A86A80B}"/>
    <cellStyle name="Normal 2 2" xfId="3" xr:uid="{9CD5BDC3-AC32-4216-8DE0-93C45B2DB34C}"/>
    <cellStyle name="Porcentaje" xfId="1" builtinId="5"/>
  </cellStyles>
  <dxfs count="49"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FFFF"/>
      <color rgb="FF00FF00"/>
      <color rgb="FF1D86B5"/>
      <color rgb="FFFFFFCC"/>
      <color rgb="FFFF3300"/>
      <color rgb="FF33CCCC"/>
      <color rgb="FF33CC33"/>
      <color rgb="FFFFCC66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ycsa01\eng_files\SIGMATLA\SIGMATLA\MEMORIAS\MECALFZ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ALFZ2"/>
    </sheetNames>
    <definedNames>
      <definedName name="C.CPC3"/>
      <definedName name="PROBLEMA.CAL75"/>
      <definedName name="PROBLEMA.CALF"/>
    </defined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5</bagId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Marco May" id="{63F66718-BBA6-4716-95AF-AF7BA7213002}" userId="549fead43093d57e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D51698-F856-432A-93FF-8BDFE73D26E0}" name="Table4" displayName="Table4" ref="C4:P133" totalsRowShown="0" headerRowDxfId="48" dataDxfId="46" headerRowBorderDxfId="47" tableBorderDxfId="45" totalsRowBorderDxfId="44">
  <autoFilter ref="C4:P133" xr:uid="{DDD51698-F856-432A-93FF-8BDFE73D26E0}"/>
  <tableColumns count="14">
    <tableColumn id="1" xr3:uid="{E65BDFCE-91C5-42F4-823D-401B81B4D1D3}" name="TAG" dataDxfId="43"/>
    <tableColumn id="6" xr3:uid="{D95A26F6-5CE6-4282-9E35-C74DD3CF85A8}" name="Servicio que cumple"/>
    <tableColumn id="2" xr3:uid="{6B738D3C-FC40-40E6-BA63-8ACC1F047F92}" name="FUNCIONAMIENTO DE VALVULA" dataDxfId="42"/>
    <tableColumn id="3" xr3:uid="{AC2CDC00-E62C-469A-B928-B869012677C4}" name="Tipo DE VALVULA" dataDxfId="41"/>
    <tableColumn id="5" xr3:uid="{2A2B5254-E2B0-4CD7-AD1C-33A6082805C3}" name="UBICACIÓN" dataDxfId="40"/>
    <tableColumn id="10" xr3:uid="{86829F7F-32D9-4F16-8C02-B5C2EAB47B08}" name="FALLA" dataDxfId="39"/>
    <tableColumn id="11" xr3:uid="{330AC3B4-D62A-4AAA-8912-D66AA10D3F05}" name="Nota" dataDxfId="38"/>
    <tableColumn id="19" xr3:uid="{612B965E-CD2B-451C-B5B3-CC79BEBDA5CE}" name="CABLEADO NEUMATICO (tubing/manguera)" dataDxfId="37"/>
    <tableColumn id="22" xr3:uid="{10B40EDE-E20B-445E-B78B-1FD6890686D6}" name="Cable NEUMATICO (tubing) Instalado  [m]" dataDxfId="36"/>
    <tableColumn id="4" xr3:uid="{70E79086-CC50-4140-B613-BC3ADE27A113}" name="pinado y cinchado " dataDxfId="35"/>
    <tableColumn id="20" xr3:uid="{E304CB9A-F945-443C-8F16-365EE1410550}" name="CONEXIÓN y etiquetado EN PLANTA" dataDxfId="34"/>
    <tableColumn id="25" xr3:uid="{823F84F3-27ED-4A73-A7C5-B2C7C8321E17}" name="CONEXIÓN y etiquetado MANINFOLD" dataDxfId="33"/>
    <tableColumn id="8" xr3:uid="{9A694842-5261-46C7-B15D-38ACC7E0B7D6}" name="PRUEBAS" dataDxfId="32"/>
    <tableColumn id="21" xr3:uid="{8C204AFC-5DFF-4EEC-A4CD-E13CF57E0B8A}" name="NOTAS" dataDxfId="3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4" dT="2025-11-19T17:09:10.85" personId="{63F66718-BBA6-4716-95AF-AF7BA7213002}" id="{63720583-B10C-414A-9C32-AA6AA15AF880}">
    <text>INTALACION DE SENSORES</text>
  </threadedComment>
  <threadedComment ref="C35" dT="2025-11-19T17:09:38.68" personId="{63F66718-BBA6-4716-95AF-AF7BA7213002}" id="{151E8E57-6619-4454-8CD0-777766E58A75}">
    <text>INTALACION DE SENSORES</text>
  </threadedComment>
  <threadedComment ref="C38" dT="2025-11-25T14:20:06.48" personId="{63F66718-BBA6-4716-95AF-AF7BA7213002}" id="{0F1A267E-6DE0-4194-8ED0-DCB12F58C1FD}">
    <text>SE INSTALO SENSOR DE POSICIÓN Y CABLEADO DE CONTROL</text>
  </threadedComment>
  <threadedComment ref="C39" dT="2025-11-24T15:07:06.85" personId="{63F66718-BBA6-4716-95AF-AF7BA7213002}" id="{028B94E3-067B-4BFA-9943-ADCD6A61AA07}">
    <text>SE INSTALO SENSOR DE POSICIÓN Y CABLEADO DE CONTROL</text>
  </threadedComment>
  <threadedComment ref="C40" dT="2025-11-24T15:07:14.27" personId="{63F66718-BBA6-4716-95AF-AF7BA7213002}" id="{5B71538D-08B3-4AB9-B31E-05A1F72F3706}">
    <text>SE INSTALO SENSOR DE POSICIÓN Y CABLEADO DE CONTROL</text>
  </threadedComment>
  <threadedComment ref="C41" dT="2025-11-24T15:07:19.02" personId="{63F66718-BBA6-4716-95AF-AF7BA7213002}" id="{66B38338-86A1-41B2-A2CF-999B3CD7A871}">
    <text>SE INSTALO SENSOR DE POSICIÓN Y CABLEADO DE CONTROL</text>
  </threadedComment>
  <threadedComment ref="C42" dT="2025-11-24T15:07:23.15" personId="{63F66718-BBA6-4716-95AF-AF7BA7213002}" id="{6D7F6474-191A-42E4-8103-6C61BAFB3742}">
    <text>SE INSTALO SENSOR DE POSICIÓN Y CABLEADO DE CONTROL</text>
  </threadedComment>
  <threadedComment ref="C45" dT="2025-11-27T05:11:22.12" personId="{63F66718-BBA6-4716-95AF-AF7BA7213002}" id="{63C04811-AD42-4CBE-9490-4E679CB1B2F7}">
    <text xml:space="preserve">SE INSTALO SENSOR DE POSICIÓN Y CABLEADO DE CONTROL </text>
  </threadedComment>
  <threadedComment ref="C46" dT="2025-11-25T14:29:25.16" personId="{63F66718-BBA6-4716-95AF-AF7BA7213002}" id="{573D0DF6-CF03-4411-B942-C34B792F3CF2}">
    <text xml:space="preserve">SE INSTALO SENSOR DE POSICIÓN Y CABLEADO DE CONTROL </text>
  </threadedComment>
  <threadedComment ref="C92" dT="2025-11-24T15:07:43.65" personId="{63F66718-BBA6-4716-95AF-AF7BA7213002}" id="{A13096FA-3693-4DD2-A2AC-39743B977E1C}">
    <text xml:space="preserve">SE INSTALO SENSOR DE POSICIÓN Y CABLEADO DE CONTROL </text>
  </threadedComment>
  <threadedComment ref="B101" dT="2025-12-13T02:48:29.43" personId="{63F66718-BBA6-4716-95AF-AF7BA7213002}" id="{0C69BAA0-7B92-42C8-822C-15C9701427DA}">
    <text>Instalación de Filtro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7E5E-B464-42E2-BE79-E4495DD6AA81}">
  <sheetPr>
    <tabColor rgb="FFFF0000"/>
  </sheetPr>
  <dimension ref="A1:R73"/>
  <sheetViews>
    <sheetView showGridLines="0" tabSelected="1" zoomScale="77" zoomScaleNormal="80" workbookViewId="0">
      <pane xSplit="7" ySplit="4" topLeftCell="H6" activePane="bottomRight" state="frozen"/>
      <selection pane="topRight" activeCell="O1" sqref="O1"/>
      <selection pane="bottomLeft" activeCell="A2" sqref="A2"/>
      <selection pane="bottomRight" activeCell="R6" sqref="R6"/>
    </sheetView>
  </sheetViews>
  <sheetFormatPr baseColWidth="10" defaultColWidth="11.5546875" defaultRowHeight="14.4" outlineLevelRow="1" x14ac:dyDescent="0.3"/>
  <cols>
    <col min="1" max="1" width="1.33203125" customWidth="1"/>
    <col min="2" max="2" width="6.6640625" bestFit="1" customWidth="1"/>
    <col min="3" max="3" width="18.77734375" customWidth="1"/>
    <col min="4" max="4" width="17.77734375" style="1" customWidth="1"/>
    <col min="5" max="5" width="21.44140625" style="1" customWidth="1"/>
    <col min="6" max="6" width="9.6640625" style="1" hidden="1" customWidth="1"/>
    <col min="7" max="7" width="39.5546875" style="114" customWidth="1"/>
    <col min="8" max="8" width="17.44140625" customWidth="1"/>
    <col min="9" max="9" width="8.5546875" hidden="1" customWidth="1"/>
    <col min="10" max="10" width="20.33203125" style="153" customWidth="1"/>
    <col min="11" max="11" width="14.109375" style="152" customWidth="1"/>
    <col min="12" max="13" width="19.5546875" style="155" customWidth="1"/>
    <col min="14" max="14" width="16.21875" style="155" customWidth="1"/>
    <col min="15" max="15" width="17" style="17" customWidth="1"/>
    <col min="16" max="16" width="15" style="17" customWidth="1"/>
    <col min="17" max="17" width="23.109375" style="17" customWidth="1"/>
    <col min="18" max="18" width="0.88671875" style="17" customWidth="1"/>
    <col min="19" max="19" width="6.109375" customWidth="1"/>
    <col min="20" max="20" width="9.5546875" customWidth="1"/>
    <col min="21" max="21" width="1.5546875" customWidth="1"/>
    <col min="22" max="22" width="6.5546875" customWidth="1"/>
    <col min="23" max="23" width="9" customWidth="1"/>
    <col min="24" max="24" width="2" customWidth="1"/>
    <col min="25" max="25" width="4.6640625" customWidth="1"/>
    <col min="26" max="26" width="8.109375" bestFit="1" customWidth="1"/>
    <col min="27" max="27" width="1.21875" customWidth="1"/>
    <col min="28" max="28" width="4.109375" customWidth="1"/>
    <col min="29" max="29" width="8.109375" bestFit="1" customWidth="1"/>
  </cols>
  <sheetData>
    <row r="1" spans="1:18" ht="4.8" customHeight="1" x14ac:dyDescent="0.3">
      <c r="O1" s="152"/>
    </row>
    <row r="2" spans="1:18" ht="24.45" customHeight="1" x14ac:dyDescent="0.3">
      <c r="O2" s="152"/>
    </row>
    <row r="3" spans="1:18" ht="24.45" customHeight="1" thickBot="1" x14ac:dyDescent="0.35">
      <c r="B3" s="287" t="s">
        <v>683</v>
      </c>
      <c r="C3" s="287"/>
      <c r="D3" s="287"/>
      <c r="E3" s="287"/>
      <c r="F3" s="287"/>
      <c r="G3" s="287"/>
      <c r="H3" s="287"/>
      <c r="J3" s="288" t="s">
        <v>684</v>
      </c>
      <c r="K3" s="289"/>
      <c r="L3" s="289"/>
      <c r="M3" s="289"/>
      <c r="N3" s="289"/>
      <c r="O3" s="289"/>
      <c r="P3" s="289"/>
      <c r="Q3" s="289"/>
    </row>
    <row r="4" spans="1:18" s="192" customFormat="1" ht="29.55" customHeight="1" thickBot="1" x14ac:dyDescent="0.3">
      <c r="B4" s="263" t="s">
        <v>115</v>
      </c>
      <c r="C4" s="264" t="s">
        <v>680</v>
      </c>
      <c r="D4" s="265" t="s">
        <v>681</v>
      </c>
      <c r="E4" s="264" t="s">
        <v>116</v>
      </c>
      <c r="F4" s="184" t="s">
        <v>117</v>
      </c>
      <c r="G4" s="264" t="s">
        <v>682</v>
      </c>
      <c r="H4" s="266" t="s">
        <v>660</v>
      </c>
      <c r="I4" s="185" t="s">
        <v>222</v>
      </c>
      <c r="J4" s="186" t="s">
        <v>661</v>
      </c>
      <c r="K4" s="187" t="s">
        <v>224</v>
      </c>
      <c r="L4" s="188" t="s">
        <v>685</v>
      </c>
      <c r="M4" s="188" t="s">
        <v>691</v>
      </c>
      <c r="N4" s="188" t="s">
        <v>692</v>
      </c>
      <c r="O4" s="187" t="s">
        <v>693</v>
      </c>
      <c r="P4" s="189" t="s">
        <v>662</v>
      </c>
      <c r="Q4" s="190" t="s">
        <v>118</v>
      </c>
      <c r="R4" s="191"/>
    </row>
    <row r="5" spans="1:18" ht="10.95" customHeight="1" thickBot="1" x14ac:dyDescent="0.35">
      <c r="A5" s="76"/>
      <c r="B5" s="69">
        <v>1</v>
      </c>
      <c r="C5" s="244" t="s">
        <v>113</v>
      </c>
      <c r="D5" s="72" t="s">
        <v>119</v>
      </c>
      <c r="E5" s="159" t="s">
        <v>120</v>
      </c>
      <c r="F5" s="70">
        <v>2</v>
      </c>
      <c r="G5" s="71" t="s">
        <v>121</v>
      </c>
      <c r="H5" s="146" t="s">
        <v>1</v>
      </c>
      <c r="I5" s="170">
        <v>1</v>
      </c>
      <c r="J5" s="267" t="b">
        <v>0</v>
      </c>
      <c r="K5" s="267" t="b">
        <v>0</v>
      </c>
      <c r="L5" s="154"/>
      <c r="M5" s="154"/>
      <c r="N5" s="154" t="s">
        <v>515</v>
      </c>
      <c r="O5" s="154" t="s">
        <v>515</v>
      </c>
      <c r="P5" s="156"/>
      <c r="Q5" s="75"/>
      <c r="R5" s="166"/>
    </row>
    <row r="6" spans="1:18" ht="10.95" customHeight="1" thickBot="1" x14ac:dyDescent="0.35">
      <c r="A6" s="76"/>
      <c r="B6" s="77">
        <v>2</v>
      </c>
      <c r="C6" s="244" t="s">
        <v>113</v>
      </c>
      <c r="D6" s="73" t="s">
        <v>122</v>
      </c>
      <c r="E6" s="159" t="s">
        <v>123</v>
      </c>
      <c r="F6" s="73">
        <v>2</v>
      </c>
      <c r="G6" s="78" t="s">
        <v>121</v>
      </c>
      <c r="H6" s="146" t="s">
        <v>1</v>
      </c>
      <c r="I6" s="170">
        <v>1</v>
      </c>
      <c r="J6" s="267" t="b">
        <v>0</v>
      </c>
      <c r="K6" s="267" t="b">
        <v>0</v>
      </c>
      <c r="L6" s="154"/>
      <c r="M6" s="154"/>
      <c r="N6" s="154" t="s">
        <v>515</v>
      </c>
      <c r="O6" s="154" t="s">
        <v>515</v>
      </c>
      <c r="P6" s="156"/>
      <c r="Q6" s="81"/>
      <c r="R6" s="21"/>
    </row>
    <row r="7" spans="1:18" ht="10.8" customHeight="1" thickBot="1" x14ac:dyDescent="0.35">
      <c r="A7" s="76"/>
      <c r="B7" s="77">
        <v>3</v>
      </c>
      <c r="C7" s="244" t="s">
        <v>113</v>
      </c>
      <c r="D7" s="73"/>
      <c r="E7" s="159" t="s">
        <v>535</v>
      </c>
      <c r="F7" s="73"/>
      <c r="G7" s="78"/>
      <c r="H7" s="146"/>
      <c r="I7" s="170"/>
      <c r="J7" s="267" t="b">
        <v>0</v>
      </c>
      <c r="K7" s="267" t="b">
        <v>0</v>
      </c>
      <c r="L7" s="154"/>
      <c r="M7" s="154"/>
      <c r="N7" s="154" t="s">
        <v>515</v>
      </c>
      <c r="O7" s="154" t="s">
        <v>515</v>
      </c>
      <c r="P7" s="156"/>
      <c r="Q7" s="81"/>
      <c r="R7" s="21"/>
    </row>
    <row r="8" spans="1:18" ht="10.95" customHeight="1" thickBot="1" x14ac:dyDescent="0.35">
      <c r="A8" s="76"/>
      <c r="B8" s="77">
        <v>4</v>
      </c>
      <c r="C8" s="244" t="s">
        <v>113</v>
      </c>
      <c r="D8" s="73" t="s">
        <v>124</v>
      </c>
      <c r="E8" s="159" t="s">
        <v>125</v>
      </c>
      <c r="F8" s="73">
        <v>2</v>
      </c>
      <c r="G8" s="78" t="s">
        <v>121</v>
      </c>
      <c r="H8" s="146" t="s">
        <v>2</v>
      </c>
      <c r="I8" s="170">
        <v>2</v>
      </c>
      <c r="J8" s="267" t="b">
        <v>0</v>
      </c>
      <c r="K8" s="267" t="b">
        <v>0</v>
      </c>
      <c r="L8" s="154"/>
      <c r="M8" s="154"/>
      <c r="N8" s="154" t="s">
        <v>515</v>
      </c>
      <c r="O8" s="154" t="s">
        <v>515</v>
      </c>
      <c r="P8" s="156"/>
      <c r="Q8" s="81"/>
      <c r="R8" s="21"/>
    </row>
    <row r="9" spans="1:18" ht="10.95" customHeight="1" thickBot="1" x14ac:dyDescent="0.35">
      <c r="A9" s="76"/>
      <c r="B9" s="77">
        <v>5</v>
      </c>
      <c r="C9" s="244" t="s">
        <v>113</v>
      </c>
      <c r="D9" s="73" t="s">
        <v>126</v>
      </c>
      <c r="E9" s="159" t="s">
        <v>127</v>
      </c>
      <c r="F9" s="73">
        <v>2</v>
      </c>
      <c r="G9" s="78" t="s">
        <v>121</v>
      </c>
      <c r="H9" s="146" t="s">
        <v>2</v>
      </c>
      <c r="I9" s="170">
        <v>2</v>
      </c>
      <c r="J9" s="267" t="b">
        <v>0</v>
      </c>
      <c r="K9" s="267" t="b">
        <v>0</v>
      </c>
      <c r="L9" s="154"/>
      <c r="M9" s="154"/>
      <c r="N9" s="154" t="s">
        <v>515</v>
      </c>
      <c r="O9" s="154" t="s">
        <v>515</v>
      </c>
      <c r="P9" s="156"/>
      <c r="Q9" s="81"/>
      <c r="R9" s="21"/>
    </row>
    <row r="10" spans="1:18" ht="10.95" customHeight="1" thickBot="1" x14ac:dyDescent="0.35">
      <c r="A10" s="76"/>
      <c r="B10" s="77">
        <v>6</v>
      </c>
      <c r="C10" s="244" t="s">
        <v>113</v>
      </c>
      <c r="D10" s="73" t="s">
        <v>128</v>
      </c>
      <c r="E10" s="159" t="s">
        <v>129</v>
      </c>
      <c r="F10" s="73">
        <v>2</v>
      </c>
      <c r="G10" s="78" t="s">
        <v>121</v>
      </c>
      <c r="H10" s="146" t="s">
        <v>2</v>
      </c>
      <c r="I10" s="170">
        <v>2</v>
      </c>
      <c r="J10" s="267" t="b">
        <v>0</v>
      </c>
      <c r="K10" s="267" t="b">
        <v>0</v>
      </c>
      <c r="L10" s="154"/>
      <c r="M10" s="154"/>
      <c r="N10" s="154" t="s">
        <v>515</v>
      </c>
      <c r="O10" s="154" t="s">
        <v>515</v>
      </c>
      <c r="P10" s="156"/>
      <c r="Q10" s="81"/>
      <c r="R10" s="21"/>
    </row>
    <row r="11" spans="1:18" ht="10.95" customHeight="1" thickBot="1" x14ac:dyDescent="0.35">
      <c r="A11" s="76"/>
      <c r="B11" s="77">
        <v>7</v>
      </c>
      <c r="C11" s="244" t="s">
        <v>113</v>
      </c>
      <c r="D11" s="73" t="s">
        <v>130</v>
      </c>
      <c r="E11" s="159" t="s">
        <v>131</v>
      </c>
      <c r="F11" s="73">
        <v>2</v>
      </c>
      <c r="G11" s="78" t="s">
        <v>121</v>
      </c>
      <c r="H11" s="146" t="s">
        <v>3</v>
      </c>
      <c r="I11" s="170">
        <v>2</v>
      </c>
      <c r="J11" s="267" t="b">
        <v>0</v>
      </c>
      <c r="K11" s="267" t="b">
        <v>0</v>
      </c>
      <c r="L11" s="154"/>
      <c r="M11" s="154"/>
      <c r="N11" s="154" t="s">
        <v>515</v>
      </c>
      <c r="O11" s="154" t="s">
        <v>515</v>
      </c>
      <c r="P11" s="156"/>
      <c r="Q11" s="81"/>
      <c r="R11" s="21"/>
    </row>
    <row r="12" spans="1:18" ht="10.95" customHeight="1" thickBot="1" x14ac:dyDescent="0.35">
      <c r="A12" s="76"/>
      <c r="B12" s="77">
        <v>8</v>
      </c>
      <c r="C12" s="244" t="s">
        <v>113</v>
      </c>
      <c r="D12" s="73" t="s">
        <v>132</v>
      </c>
      <c r="E12" s="159" t="s">
        <v>133</v>
      </c>
      <c r="F12" s="73">
        <v>2</v>
      </c>
      <c r="G12" s="78" t="s">
        <v>121</v>
      </c>
      <c r="H12" s="146" t="s">
        <v>2</v>
      </c>
      <c r="I12" s="170">
        <v>3</v>
      </c>
      <c r="J12" s="267" t="b">
        <v>0</v>
      </c>
      <c r="K12" s="267" t="b">
        <v>0</v>
      </c>
      <c r="L12" s="154"/>
      <c r="M12" s="154"/>
      <c r="N12" s="154" t="s">
        <v>515</v>
      </c>
      <c r="O12" s="154" t="s">
        <v>515</v>
      </c>
      <c r="P12" s="156"/>
      <c r="Q12" s="81"/>
      <c r="R12" s="21"/>
    </row>
    <row r="13" spans="1:18" ht="10.95" customHeight="1" thickBot="1" x14ac:dyDescent="0.35">
      <c r="A13" s="76"/>
      <c r="B13" s="77">
        <v>9</v>
      </c>
      <c r="C13" s="244" t="s">
        <v>113</v>
      </c>
      <c r="D13" s="73" t="s">
        <v>134</v>
      </c>
      <c r="E13" s="159" t="s">
        <v>135</v>
      </c>
      <c r="F13" s="73">
        <v>2</v>
      </c>
      <c r="G13" s="78" t="s">
        <v>121</v>
      </c>
      <c r="H13" s="146" t="s">
        <v>2</v>
      </c>
      <c r="I13" s="170">
        <v>3</v>
      </c>
      <c r="J13" s="267" t="b">
        <v>0</v>
      </c>
      <c r="K13" s="267" t="b">
        <v>0</v>
      </c>
      <c r="L13" s="154"/>
      <c r="M13" s="156"/>
      <c r="N13" s="267" t="b">
        <v>0</v>
      </c>
      <c r="O13" s="267" t="b">
        <v>0</v>
      </c>
      <c r="P13" s="267" t="b">
        <v>0</v>
      </c>
      <c r="Q13" s="81"/>
      <c r="R13" s="21"/>
    </row>
    <row r="14" spans="1:18" ht="10.95" customHeight="1" thickBot="1" x14ac:dyDescent="0.35">
      <c r="A14" s="76"/>
      <c r="B14" s="77">
        <v>10</v>
      </c>
      <c r="C14" s="244" t="s">
        <v>113</v>
      </c>
      <c r="D14" s="73" t="s">
        <v>119</v>
      </c>
      <c r="E14" s="159" t="s">
        <v>136</v>
      </c>
      <c r="F14" s="73">
        <v>2</v>
      </c>
      <c r="G14" s="78" t="s">
        <v>137</v>
      </c>
      <c r="H14" s="146" t="s">
        <v>1</v>
      </c>
      <c r="I14" s="170">
        <v>1</v>
      </c>
      <c r="J14" s="267" t="b">
        <v>0</v>
      </c>
      <c r="K14" s="267" t="b">
        <v>0</v>
      </c>
      <c r="L14" s="154"/>
      <c r="M14" s="156"/>
      <c r="N14" s="267" t="b">
        <v>0</v>
      </c>
      <c r="O14" s="267" t="b">
        <v>0</v>
      </c>
      <c r="P14" s="267" t="b">
        <v>0</v>
      </c>
      <c r="Q14" s="81"/>
      <c r="R14" s="21"/>
    </row>
    <row r="15" spans="1:18" ht="10.95" customHeight="1" thickBot="1" x14ac:dyDescent="0.35">
      <c r="A15" s="76"/>
      <c r="B15" s="77">
        <v>11</v>
      </c>
      <c r="C15" s="244" t="s">
        <v>113</v>
      </c>
      <c r="D15" s="73" t="s">
        <v>132</v>
      </c>
      <c r="E15" s="159" t="s">
        <v>138</v>
      </c>
      <c r="F15" s="73">
        <v>2</v>
      </c>
      <c r="G15" s="78" t="s">
        <v>137</v>
      </c>
      <c r="H15" s="146" t="s">
        <v>2</v>
      </c>
      <c r="I15" s="170">
        <v>2</v>
      </c>
      <c r="J15" s="267" t="b">
        <v>0</v>
      </c>
      <c r="K15" s="267" t="b">
        <v>0</v>
      </c>
      <c r="L15" s="154"/>
      <c r="M15" s="156"/>
      <c r="N15" s="267" t="b">
        <v>0</v>
      </c>
      <c r="O15" s="267" t="b">
        <v>0</v>
      </c>
      <c r="P15" s="267" t="b">
        <v>0</v>
      </c>
      <c r="Q15" s="81"/>
      <c r="R15" s="21"/>
    </row>
    <row r="16" spans="1:18" ht="10.95" customHeight="1" thickBot="1" x14ac:dyDescent="0.35">
      <c r="A16" s="76"/>
      <c r="B16" s="77">
        <v>12</v>
      </c>
      <c r="C16" s="244" t="s">
        <v>113</v>
      </c>
      <c r="D16" s="73" t="s">
        <v>134</v>
      </c>
      <c r="E16" s="159" t="s">
        <v>139</v>
      </c>
      <c r="F16" s="73">
        <v>2</v>
      </c>
      <c r="G16" s="78" t="s">
        <v>137</v>
      </c>
      <c r="H16" s="146" t="s">
        <v>2</v>
      </c>
      <c r="I16" s="170">
        <v>2</v>
      </c>
      <c r="J16" s="267" t="b">
        <v>0</v>
      </c>
      <c r="K16" s="267" t="b">
        <v>0</v>
      </c>
      <c r="L16" s="154"/>
      <c r="M16" s="156"/>
      <c r="N16" s="267" t="b">
        <v>0</v>
      </c>
      <c r="O16" s="267" t="b">
        <v>0</v>
      </c>
      <c r="P16" s="267" t="b">
        <v>0</v>
      </c>
      <c r="Q16" s="81"/>
      <c r="R16" s="21"/>
    </row>
    <row r="17" spans="1:18" ht="10.95" customHeight="1" thickBot="1" x14ac:dyDescent="0.35">
      <c r="A17" s="76"/>
      <c r="B17" s="77">
        <v>13</v>
      </c>
      <c r="C17" s="244" t="s">
        <v>113</v>
      </c>
      <c r="D17" s="73" t="s">
        <v>140</v>
      </c>
      <c r="E17" s="159" t="s">
        <v>141</v>
      </c>
      <c r="F17" s="73">
        <v>2</v>
      </c>
      <c r="G17" s="78" t="s">
        <v>137</v>
      </c>
      <c r="H17" s="146" t="s">
        <v>0</v>
      </c>
      <c r="I17" s="170">
        <v>1</v>
      </c>
      <c r="J17" s="267" t="b">
        <v>0</v>
      </c>
      <c r="K17" s="267" t="b">
        <v>0</v>
      </c>
      <c r="L17" s="154"/>
      <c r="M17" s="156"/>
      <c r="N17" s="267" t="b">
        <v>0</v>
      </c>
      <c r="O17" s="267" t="b">
        <v>0</v>
      </c>
      <c r="P17" s="267" t="b">
        <v>0</v>
      </c>
      <c r="Q17" s="81"/>
      <c r="R17" s="21"/>
    </row>
    <row r="18" spans="1:18" ht="10.95" customHeight="1" thickBot="1" x14ac:dyDescent="0.35">
      <c r="A18" s="76"/>
      <c r="B18" s="77">
        <v>14</v>
      </c>
      <c r="C18" s="244" t="s">
        <v>113</v>
      </c>
      <c r="D18" s="73" t="s">
        <v>122</v>
      </c>
      <c r="E18" s="159" t="s">
        <v>142</v>
      </c>
      <c r="F18" s="73">
        <v>2</v>
      </c>
      <c r="G18" s="78" t="s">
        <v>137</v>
      </c>
      <c r="H18" s="146" t="s">
        <v>1</v>
      </c>
      <c r="I18" s="170">
        <v>1</v>
      </c>
      <c r="J18" s="267" t="b">
        <v>0</v>
      </c>
      <c r="K18" s="267" t="b">
        <v>0</v>
      </c>
      <c r="L18" s="154"/>
      <c r="M18" s="156"/>
      <c r="N18" s="267" t="b">
        <v>0</v>
      </c>
      <c r="O18" s="267" t="b">
        <v>0</v>
      </c>
      <c r="P18" s="267" t="b">
        <v>0</v>
      </c>
      <c r="Q18" s="81"/>
      <c r="R18" s="21"/>
    </row>
    <row r="19" spans="1:18" ht="10.95" customHeight="1" thickBot="1" x14ac:dyDescent="0.35">
      <c r="A19" s="76"/>
      <c r="B19" s="77">
        <v>15</v>
      </c>
      <c r="C19" s="244" t="s">
        <v>113</v>
      </c>
      <c r="D19" s="73" t="s">
        <v>124</v>
      </c>
      <c r="E19" s="159" t="s">
        <v>143</v>
      </c>
      <c r="F19" s="73">
        <v>2</v>
      </c>
      <c r="G19" s="78" t="s">
        <v>137</v>
      </c>
      <c r="H19" s="146" t="s">
        <v>2</v>
      </c>
      <c r="I19" s="170">
        <v>3</v>
      </c>
      <c r="J19" s="267" t="b">
        <v>0</v>
      </c>
      <c r="K19" s="267" t="b">
        <v>0</v>
      </c>
      <c r="L19" s="154"/>
      <c r="M19" s="156"/>
      <c r="N19" s="267" t="b">
        <v>0</v>
      </c>
      <c r="O19" s="267" t="b">
        <v>0</v>
      </c>
      <c r="P19" s="267" t="b">
        <v>0</v>
      </c>
      <c r="Q19" s="81"/>
      <c r="R19" s="21"/>
    </row>
    <row r="20" spans="1:18" ht="10.95" customHeight="1" thickBot="1" x14ac:dyDescent="0.35">
      <c r="A20" s="76"/>
      <c r="B20" s="77">
        <v>16</v>
      </c>
      <c r="C20" s="244" t="s">
        <v>113</v>
      </c>
      <c r="D20" s="73" t="s">
        <v>126</v>
      </c>
      <c r="E20" s="159" t="s">
        <v>144</v>
      </c>
      <c r="F20" s="73">
        <v>2</v>
      </c>
      <c r="G20" s="78" t="s">
        <v>137</v>
      </c>
      <c r="H20" s="146" t="s">
        <v>2</v>
      </c>
      <c r="I20" s="170">
        <v>3</v>
      </c>
      <c r="J20" s="267" t="b">
        <v>0</v>
      </c>
      <c r="K20" s="267" t="b">
        <v>0</v>
      </c>
      <c r="L20" s="154"/>
      <c r="M20" s="156"/>
      <c r="N20" s="267" t="b">
        <v>0</v>
      </c>
      <c r="O20" s="267" t="b">
        <v>0</v>
      </c>
      <c r="P20" s="267" t="b">
        <v>0</v>
      </c>
      <c r="Q20" s="81"/>
      <c r="R20" s="21"/>
    </row>
    <row r="21" spans="1:18" ht="10.95" customHeight="1" thickBot="1" x14ac:dyDescent="0.35">
      <c r="A21" s="76"/>
      <c r="B21" s="77">
        <v>17</v>
      </c>
      <c r="C21" s="244" t="s">
        <v>113</v>
      </c>
      <c r="D21" s="73" t="s">
        <v>128</v>
      </c>
      <c r="E21" s="159" t="s">
        <v>145</v>
      </c>
      <c r="F21" s="73">
        <v>2</v>
      </c>
      <c r="G21" s="78" t="s">
        <v>137</v>
      </c>
      <c r="H21" s="146" t="s">
        <v>2</v>
      </c>
      <c r="I21" s="170">
        <v>3</v>
      </c>
      <c r="J21" s="267" t="b">
        <v>0</v>
      </c>
      <c r="K21" s="267" t="b">
        <v>0</v>
      </c>
      <c r="L21" s="154"/>
      <c r="M21" s="156"/>
      <c r="N21" s="267" t="b">
        <v>0</v>
      </c>
      <c r="O21" s="267" t="b">
        <v>0</v>
      </c>
      <c r="P21" s="267" t="b">
        <v>0</v>
      </c>
      <c r="Q21" s="81"/>
      <c r="R21" s="21"/>
    </row>
    <row r="22" spans="1:18" ht="10.95" customHeight="1" thickBot="1" x14ac:dyDescent="0.35">
      <c r="A22" s="76"/>
      <c r="B22" s="77">
        <v>18</v>
      </c>
      <c r="C22" s="244" t="s">
        <v>113</v>
      </c>
      <c r="D22" s="73" t="s">
        <v>130</v>
      </c>
      <c r="E22" s="159" t="s">
        <v>146</v>
      </c>
      <c r="F22" s="73">
        <v>2</v>
      </c>
      <c r="G22" s="78" t="s">
        <v>137</v>
      </c>
      <c r="H22" s="146" t="s">
        <v>3</v>
      </c>
      <c r="I22" s="170">
        <v>3</v>
      </c>
      <c r="J22" s="267" t="b">
        <v>0</v>
      </c>
      <c r="K22" s="267" t="b">
        <v>0</v>
      </c>
      <c r="L22" s="154"/>
      <c r="M22" s="156"/>
      <c r="N22" s="267" t="b">
        <v>0</v>
      </c>
      <c r="O22" s="267" t="b">
        <v>0</v>
      </c>
      <c r="P22" s="267" t="b">
        <v>0</v>
      </c>
      <c r="Q22" s="81"/>
      <c r="R22" s="21"/>
    </row>
    <row r="23" spans="1:18" ht="10.95" customHeight="1" thickBot="1" x14ac:dyDescent="0.35">
      <c r="A23" s="76"/>
      <c r="B23" s="77">
        <v>19</v>
      </c>
      <c r="C23" s="244" t="s">
        <v>113</v>
      </c>
      <c r="D23" s="174" t="s">
        <v>147</v>
      </c>
      <c r="E23" s="175" t="s">
        <v>148</v>
      </c>
      <c r="F23" s="83">
        <v>2</v>
      </c>
      <c r="G23" s="84" t="s">
        <v>137</v>
      </c>
      <c r="H23" s="176" t="s">
        <v>3</v>
      </c>
      <c r="I23" s="170">
        <v>3</v>
      </c>
      <c r="J23" s="267" t="b">
        <v>0</v>
      </c>
      <c r="K23" s="267" t="b">
        <v>0</v>
      </c>
      <c r="L23" s="154"/>
      <c r="M23" s="156"/>
      <c r="N23" s="267" t="b">
        <v>0</v>
      </c>
      <c r="O23" s="267" t="b">
        <v>0</v>
      </c>
      <c r="P23" s="267" t="b">
        <v>0</v>
      </c>
      <c r="Q23" s="177"/>
      <c r="R23" s="21"/>
    </row>
    <row r="24" spans="1:18" ht="4.95" customHeight="1" thickBot="1" x14ac:dyDescent="0.35">
      <c r="B24" s="282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4"/>
    </row>
    <row r="25" spans="1:18" ht="10.95" customHeight="1" x14ac:dyDescent="0.3">
      <c r="A25" s="91"/>
      <c r="B25" s="87">
        <v>1</v>
      </c>
      <c r="C25" s="245" t="s">
        <v>149</v>
      </c>
      <c r="D25" s="88" t="s">
        <v>119</v>
      </c>
      <c r="E25" s="208" t="s">
        <v>150</v>
      </c>
      <c r="F25" s="89">
        <v>2</v>
      </c>
      <c r="G25" s="90" t="s">
        <v>151</v>
      </c>
      <c r="H25" s="147" t="s">
        <v>5</v>
      </c>
      <c r="I25" s="97">
        <v>1</v>
      </c>
      <c r="J25" s="267" t="b">
        <v>0</v>
      </c>
      <c r="K25" s="267" t="b">
        <v>0</v>
      </c>
      <c r="L25" s="154"/>
      <c r="M25" s="156"/>
      <c r="N25" s="267" t="b">
        <v>0</v>
      </c>
      <c r="O25" s="267" t="b">
        <v>0</v>
      </c>
      <c r="P25" s="267" t="b">
        <v>0</v>
      </c>
      <c r="Q25" s="92" t="s">
        <v>544</v>
      </c>
      <c r="R25" s="167"/>
    </row>
    <row r="26" spans="1:18" ht="10.95" customHeight="1" x14ac:dyDescent="0.3">
      <c r="A26" s="76"/>
      <c r="B26" s="77">
        <v>2</v>
      </c>
      <c r="C26" s="245" t="s">
        <v>149</v>
      </c>
      <c r="D26" s="93" t="s">
        <v>152</v>
      </c>
      <c r="E26" s="193" t="s">
        <v>153</v>
      </c>
      <c r="F26" s="73">
        <v>2</v>
      </c>
      <c r="G26" s="78" t="s">
        <v>154</v>
      </c>
      <c r="H26" s="146" t="s">
        <v>5</v>
      </c>
      <c r="I26" s="170"/>
      <c r="J26" s="267" t="b">
        <v>0</v>
      </c>
      <c r="K26" s="267" t="b">
        <v>0</v>
      </c>
      <c r="L26" s="154"/>
      <c r="M26" s="156"/>
      <c r="N26" s="267" t="b">
        <v>0</v>
      </c>
      <c r="O26" s="267" t="b">
        <v>0</v>
      </c>
      <c r="P26" s="267" t="b">
        <v>0</v>
      </c>
      <c r="Q26" s="81"/>
      <c r="R26" s="21"/>
    </row>
    <row r="27" spans="1:18" ht="10.95" customHeight="1" x14ac:dyDescent="0.3">
      <c r="A27" s="76"/>
      <c r="B27" s="82">
        <v>3</v>
      </c>
      <c r="C27" s="245" t="s">
        <v>149</v>
      </c>
      <c r="D27" s="93" t="s">
        <v>152</v>
      </c>
      <c r="E27" s="193" t="s">
        <v>155</v>
      </c>
      <c r="F27" s="73">
        <v>2</v>
      </c>
      <c r="G27" s="78" t="s">
        <v>154</v>
      </c>
      <c r="H27" s="146" t="s">
        <v>5</v>
      </c>
      <c r="I27" s="170"/>
      <c r="J27" s="267" t="b">
        <v>0</v>
      </c>
      <c r="K27" s="267" t="b">
        <v>0</v>
      </c>
      <c r="L27" s="154"/>
      <c r="M27" s="156"/>
      <c r="N27" s="267" t="b">
        <v>0</v>
      </c>
      <c r="O27" s="267" t="b">
        <v>0</v>
      </c>
      <c r="P27" s="267" t="b">
        <v>0</v>
      </c>
      <c r="Q27" s="81"/>
      <c r="R27" s="21"/>
    </row>
    <row r="28" spans="1:18" ht="10.95" customHeight="1" x14ac:dyDescent="0.3">
      <c r="A28" s="76"/>
      <c r="B28" s="77">
        <v>4</v>
      </c>
      <c r="C28" s="245" t="s">
        <v>149</v>
      </c>
      <c r="D28" s="93" t="s">
        <v>152</v>
      </c>
      <c r="E28" s="193" t="s">
        <v>156</v>
      </c>
      <c r="F28" s="73">
        <v>2</v>
      </c>
      <c r="G28" s="78" t="s">
        <v>157</v>
      </c>
      <c r="H28" s="146" t="s">
        <v>1</v>
      </c>
      <c r="I28" s="170"/>
      <c r="J28" s="267" t="b">
        <v>0</v>
      </c>
      <c r="K28" s="267" t="b">
        <v>0</v>
      </c>
      <c r="L28" s="154"/>
      <c r="M28" s="156"/>
      <c r="N28" s="267" t="b">
        <v>0</v>
      </c>
      <c r="O28" s="267" t="b">
        <v>0</v>
      </c>
      <c r="P28" s="267" t="b">
        <v>0</v>
      </c>
      <c r="Q28" s="81"/>
      <c r="R28" s="21"/>
    </row>
    <row r="29" spans="1:18" ht="10.95" customHeight="1" thickBot="1" x14ac:dyDescent="0.35">
      <c r="A29" s="76"/>
      <c r="B29" s="94">
        <v>5</v>
      </c>
      <c r="C29" s="245" t="s">
        <v>149</v>
      </c>
      <c r="D29" s="95" t="s">
        <v>119</v>
      </c>
      <c r="E29" s="193" t="s">
        <v>158</v>
      </c>
      <c r="F29" s="83">
        <v>2</v>
      </c>
      <c r="G29" s="84" t="s">
        <v>159</v>
      </c>
      <c r="H29" s="148" t="s">
        <v>1</v>
      </c>
      <c r="I29" s="97">
        <v>1</v>
      </c>
      <c r="J29" s="267" t="b">
        <v>0</v>
      </c>
      <c r="K29" s="267" t="b">
        <v>0</v>
      </c>
      <c r="L29" s="154"/>
      <c r="M29" s="156"/>
      <c r="N29" s="267" t="b">
        <v>0</v>
      </c>
      <c r="O29" s="267" t="b">
        <v>0</v>
      </c>
      <c r="P29" s="267" t="b">
        <v>0</v>
      </c>
      <c r="Q29" s="86"/>
      <c r="R29" s="21"/>
    </row>
    <row r="30" spans="1:18" ht="4.95" customHeight="1" thickBot="1" x14ac:dyDescent="0.35">
      <c r="B30" s="282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4"/>
    </row>
    <row r="31" spans="1:18" ht="10.95" customHeight="1" x14ac:dyDescent="0.3">
      <c r="A31" s="76"/>
      <c r="B31" s="87">
        <v>1</v>
      </c>
      <c r="C31" s="246" t="s">
        <v>160</v>
      </c>
      <c r="D31" s="202" t="s">
        <v>161</v>
      </c>
      <c r="E31" s="159" t="s">
        <v>162</v>
      </c>
      <c r="F31" s="89">
        <v>1</v>
      </c>
      <c r="G31" s="96" t="s">
        <v>161</v>
      </c>
      <c r="H31" s="147" t="s">
        <v>5</v>
      </c>
      <c r="I31" s="97"/>
      <c r="J31" s="267" t="b">
        <v>0</v>
      </c>
      <c r="K31" s="267" t="b">
        <v>0</v>
      </c>
      <c r="L31" s="154"/>
      <c r="M31" s="156"/>
      <c r="N31" s="267" t="b">
        <v>0</v>
      </c>
      <c r="O31" s="267" t="b">
        <v>0</v>
      </c>
      <c r="P31" s="267" t="b">
        <v>0</v>
      </c>
      <c r="Q31" s="98"/>
      <c r="R31" s="21"/>
    </row>
    <row r="32" spans="1:18" ht="10.95" customHeight="1" x14ac:dyDescent="0.3">
      <c r="A32" s="76"/>
      <c r="B32" s="77">
        <v>2</v>
      </c>
      <c r="C32" s="246" t="s">
        <v>160</v>
      </c>
      <c r="D32" s="99" t="s">
        <v>163</v>
      </c>
      <c r="E32" s="159" t="s">
        <v>164</v>
      </c>
      <c r="F32" s="73">
        <v>1</v>
      </c>
      <c r="G32" s="100" t="s">
        <v>163</v>
      </c>
      <c r="H32" s="146" t="s">
        <v>5</v>
      </c>
      <c r="I32" s="170"/>
      <c r="J32" s="267" t="b">
        <v>0</v>
      </c>
      <c r="K32" s="267" t="b">
        <v>0</v>
      </c>
      <c r="L32" s="154"/>
      <c r="M32" s="156"/>
      <c r="N32" s="267" t="b">
        <v>0</v>
      </c>
      <c r="O32" s="267" t="b">
        <v>0</v>
      </c>
      <c r="P32" s="267" t="b">
        <v>0</v>
      </c>
      <c r="Q32" s="81"/>
      <c r="R32" s="21"/>
    </row>
    <row r="33" spans="1:18" ht="10.95" customHeight="1" x14ac:dyDescent="0.3">
      <c r="A33" s="76"/>
      <c r="B33" s="82">
        <v>3</v>
      </c>
      <c r="C33" s="246" t="s">
        <v>160</v>
      </c>
      <c r="D33" s="99" t="s">
        <v>119</v>
      </c>
      <c r="E33" s="159" t="s">
        <v>165</v>
      </c>
      <c r="F33" s="73">
        <v>1</v>
      </c>
      <c r="G33" s="100" t="s">
        <v>119</v>
      </c>
      <c r="H33" s="146" t="s">
        <v>1</v>
      </c>
      <c r="I33" s="170">
        <v>1</v>
      </c>
      <c r="J33" s="267" t="b">
        <v>0</v>
      </c>
      <c r="K33" s="267" t="b">
        <v>0</v>
      </c>
      <c r="L33" s="154"/>
      <c r="M33" s="156"/>
      <c r="N33" s="267" t="b">
        <v>0</v>
      </c>
      <c r="O33" s="267" t="b">
        <v>0</v>
      </c>
      <c r="P33" s="267" t="b">
        <v>0</v>
      </c>
      <c r="Q33" s="81"/>
      <c r="R33" s="21"/>
    </row>
    <row r="34" spans="1:18" ht="10.95" customHeight="1" x14ac:dyDescent="0.3">
      <c r="A34" s="76"/>
      <c r="B34" s="87">
        <v>4</v>
      </c>
      <c r="C34" s="246" t="s">
        <v>160</v>
      </c>
      <c r="D34" s="99" t="s">
        <v>166</v>
      </c>
      <c r="E34" s="159" t="s">
        <v>167</v>
      </c>
      <c r="F34" s="73">
        <v>1</v>
      </c>
      <c r="G34" s="100" t="s">
        <v>166</v>
      </c>
      <c r="H34" s="146" t="s">
        <v>2</v>
      </c>
      <c r="I34" s="170"/>
      <c r="J34" s="267" t="b">
        <v>0</v>
      </c>
      <c r="K34" s="267" t="b">
        <v>0</v>
      </c>
      <c r="L34" s="154"/>
      <c r="M34" s="156"/>
      <c r="N34" s="267" t="b">
        <v>0</v>
      </c>
      <c r="O34" s="267" t="b">
        <v>0</v>
      </c>
      <c r="P34" s="267" t="b">
        <v>0</v>
      </c>
      <c r="Q34" s="81"/>
      <c r="R34" s="21"/>
    </row>
    <row r="35" spans="1:18" ht="10.95" customHeight="1" x14ac:dyDescent="0.3">
      <c r="A35" s="76"/>
      <c r="B35" s="77">
        <v>5</v>
      </c>
      <c r="C35" s="246" t="s">
        <v>160</v>
      </c>
      <c r="D35" s="99" t="s">
        <v>168</v>
      </c>
      <c r="E35" s="159" t="s">
        <v>169</v>
      </c>
      <c r="F35" s="73">
        <v>1</v>
      </c>
      <c r="G35" s="100" t="s">
        <v>168</v>
      </c>
      <c r="H35" s="146" t="s">
        <v>1</v>
      </c>
      <c r="I35" s="170"/>
      <c r="J35" s="267" t="b">
        <v>0</v>
      </c>
      <c r="K35" s="267" t="b">
        <v>0</v>
      </c>
      <c r="L35" s="154"/>
      <c r="M35" s="156"/>
      <c r="N35" s="267" t="b">
        <v>0</v>
      </c>
      <c r="O35" s="267" t="b">
        <v>0</v>
      </c>
      <c r="P35" s="267" t="b">
        <v>0</v>
      </c>
      <c r="Q35" s="81"/>
      <c r="R35" s="21"/>
    </row>
    <row r="36" spans="1:18" ht="10.95" customHeight="1" x14ac:dyDescent="0.3">
      <c r="A36" s="76"/>
      <c r="B36" s="82">
        <v>6</v>
      </c>
      <c r="C36" s="246" t="s">
        <v>160</v>
      </c>
      <c r="D36" s="99" t="s">
        <v>124</v>
      </c>
      <c r="E36" s="159" t="s">
        <v>170</v>
      </c>
      <c r="F36" s="73">
        <v>1</v>
      </c>
      <c r="G36" s="100" t="s">
        <v>124</v>
      </c>
      <c r="H36" s="146" t="s">
        <v>2</v>
      </c>
      <c r="I36" s="170"/>
      <c r="J36" s="267" t="b">
        <v>0</v>
      </c>
      <c r="K36" s="267" t="b">
        <v>0</v>
      </c>
      <c r="L36" s="154"/>
      <c r="M36" s="156"/>
      <c r="N36" s="267" t="b">
        <v>0</v>
      </c>
      <c r="O36" s="267" t="b">
        <v>0</v>
      </c>
      <c r="P36" s="267" t="b">
        <v>0</v>
      </c>
      <c r="Q36" s="81"/>
      <c r="R36" s="21"/>
    </row>
    <row r="37" spans="1:18" ht="10.95" customHeight="1" x14ac:dyDescent="0.3">
      <c r="A37" s="76"/>
      <c r="B37" s="87">
        <v>7</v>
      </c>
      <c r="C37" s="246" t="s">
        <v>160</v>
      </c>
      <c r="D37" s="99" t="s">
        <v>126</v>
      </c>
      <c r="E37" s="159" t="s">
        <v>171</v>
      </c>
      <c r="F37" s="73">
        <v>1</v>
      </c>
      <c r="G37" s="100" t="s">
        <v>126</v>
      </c>
      <c r="H37" s="146" t="s">
        <v>2</v>
      </c>
      <c r="I37" s="170">
        <v>2</v>
      </c>
      <c r="J37" s="267" t="b">
        <v>0</v>
      </c>
      <c r="K37" s="267" t="b">
        <v>0</v>
      </c>
      <c r="L37" s="154"/>
      <c r="M37" s="156"/>
      <c r="N37" s="267" t="b">
        <v>0</v>
      </c>
      <c r="O37" s="267" t="b">
        <v>0</v>
      </c>
      <c r="P37" s="267" t="b">
        <v>0</v>
      </c>
      <c r="Q37" s="102"/>
      <c r="R37" s="168"/>
    </row>
    <row r="38" spans="1:18" ht="10.95" customHeight="1" x14ac:dyDescent="0.3">
      <c r="A38" s="76"/>
      <c r="B38" s="77">
        <v>8</v>
      </c>
      <c r="C38" s="246" t="s">
        <v>160</v>
      </c>
      <c r="D38" s="99" t="s">
        <v>128</v>
      </c>
      <c r="E38" s="159" t="s">
        <v>172</v>
      </c>
      <c r="F38" s="73">
        <v>1</v>
      </c>
      <c r="G38" s="100" t="s">
        <v>128</v>
      </c>
      <c r="H38" s="146" t="s">
        <v>2</v>
      </c>
      <c r="I38" s="170"/>
      <c r="J38" s="267" t="b">
        <v>0</v>
      </c>
      <c r="K38" s="267" t="b">
        <v>0</v>
      </c>
      <c r="L38" s="154"/>
      <c r="M38" s="156"/>
      <c r="N38" s="267" t="b">
        <v>0</v>
      </c>
      <c r="O38" s="267" t="b">
        <v>0</v>
      </c>
      <c r="P38" s="267" t="b">
        <v>0</v>
      </c>
      <c r="Q38" s="81"/>
      <c r="R38" s="21"/>
    </row>
    <row r="39" spans="1:18" ht="10.95" customHeight="1" x14ac:dyDescent="0.3">
      <c r="A39" s="76"/>
      <c r="B39" s="82">
        <v>9</v>
      </c>
      <c r="C39" s="246" t="s">
        <v>160</v>
      </c>
      <c r="D39" s="99" t="s">
        <v>130</v>
      </c>
      <c r="E39" s="159" t="s">
        <v>173</v>
      </c>
      <c r="F39" s="73">
        <v>1</v>
      </c>
      <c r="G39" s="100" t="s">
        <v>130</v>
      </c>
      <c r="H39" s="146" t="s">
        <v>3</v>
      </c>
      <c r="I39" s="170"/>
      <c r="J39" s="267" t="b">
        <v>0</v>
      </c>
      <c r="K39" s="267" t="b">
        <v>0</v>
      </c>
      <c r="L39" s="154"/>
      <c r="M39" s="156"/>
      <c r="N39" s="267" t="b">
        <v>0</v>
      </c>
      <c r="O39" s="267" t="b">
        <v>0</v>
      </c>
      <c r="P39" s="267" t="b">
        <v>0</v>
      </c>
      <c r="Q39" s="81"/>
      <c r="R39" s="21"/>
    </row>
    <row r="40" spans="1:18" ht="10.95" customHeight="1" x14ac:dyDescent="0.3">
      <c r="A40" s="76"/>
      <c r="B40" s="87">
        <v>10</v>
      </c>
      <c r="C40" s="246" t="s">
        <v>160</v>
      </c>
      <c r="D40" s="99" t="s">
        <v>122</v>
      </c>
      <c r="E40" s="159" t="s">
        <v>174</v>
      </c>
      <c r="F40" s="73">
        <v>1</v>
      </c>
      <c r="G40" s="100" t="s">
        <v>122</v>
      </c>
      <c r="H40" s="146" t="s">
        <v>1</v>
      </c>
      <c r="I40" s="170">
        <v>1</v>
      </c>
      <c r="J40" s="267" t="b">
        <v>0</v>
      </c>
      <c r="K40" s="267" t="b">
        <v>0</v>
      </c>
      <c r="L40" s="154"/>
      <c r="M40" s="156"/>
      <c r="N40" s="267" t="b">
        <v>0</v>
      </c>
      <c r="O40" s="267" t="b">
        <v>0</v>
      </c>
      <c r="P40" s="267" t="b">
        <v>0</v>
      </c>
      <c r="Q40" s="81"/>
      <c r="R40" s="21"/>
    </row>
    <row r="41" spans="1:18" ht="10.95" customHeight="1" x14ac:dyDescent="0.3">
      <c r="A41" s="76"/>
      <c r="B41" s="77">
        <v>11</v>
      </c>
      <c r="C41" s="246" t="s">
        <v>160</v>
      </c>
      <c r="D41" s="202" t="s">
        <v>161</v>
      </c>
      <c r="E41" s="159" t="s">
        <v>175</v>
      </c>
      <c r="F41" s="73">
        <v>1</v>
      </c>
      <c r="G41" s="100" t="s">
        <v>161</v>
      </c>
      <c r="H41" s="178" t="s">
        <v>5</v>
      </c>
      <c r="I41" s="170"/>
      <c r="J41" s="267" t="b">
        <v>0</v>
      </c>
      <c r="K41" s="267" t="b">
        <v>0</v>
      </c>
      <c r="L41" s="154"/>
      <c r="M41" s="156"/>
      <c r="N41" s="267" t="b">
        <v>0</v>
      </c>
      <c r="O41" s="267" t="b">
        <v>0</v>
      </c>
      <c r="P41" s="267" t="b">
        <v>0</v>
      </c>
      <c r="Q41" s="98"/>
      <c r="R41" s="21"/>
    </row>
    <row r="42" spans="1:18" ht="10.95" customHeight="1" x14ac:dyDescent="0.3">
      <c r="A42" s="76"/>
      <c r="B42" s="82">
        <v>12</v>
      </c>
      <c r="C42" s="246" t="s">
        <v>160</v>
      </c>
      <c r="D42" s="99" t="s">
        <v>163</v>
      </c>
      <c r="E42" s="159" t="s">
        <v>176</v>
      </c>
      <c r="F42" s="73">
        <v>1</v>
      </c>
      <c r="G42" s="100" t="s">
        <v>163</v>
      </c>
      <c r="H42" s="146" t="s">
        <v>5</v>
      </c>
      <c r="I42" s="170"/>
      <c r="J42" s="267" t="b">
        <v>0</v>
      </c>
      <c r="K42" s="267" t="b">
        <v>0</v>
      </c>
      <c r="L42" s="154"/>
      <c r="M42" s="156"/>
      <c r="N42" s="267" t="b">
        <v>0</v>
      </c>
      <c r="O42" s="267" t="b">
        <v>0</v>
      </c>
      <c r="P42" s="267" t="b">
        <v>0</v>
      </c>
      <c r="Q42" s="81"/>
      <c r="R42" s="21"/>
    </row>
    <row r="43" spans="1:18" ht="10.95" customHeight="1" x14ac:dyDescent="0.3">
      <c r="A43" s="76"/>
      <c r="B43" s="87">
        <v>13</v>
      </c>
      <c r="C43" s="246" t="s">
        <v>160</v>
      </c>
      <c r="D43" s="99" t="s">
        <v>119</v>
      </c>
      <c r="E43" s="159" t="s">
        <v>177</v>
      </c>
      <c r="F43" s="73">
        <v>2</v>
      </c>
      <c r="G43" s="100" t="s">
        <v>119</v>
      </c>
      <c r="H43" s="146" t="s">
        <v>0</v>
      </c>
      <c r="I43" s="170"/>
      <c r="J43" s="267" t="b">
        <v>0</v>
      </c>
      <c r="K43" s="267" t="b">
        <v>0</v>
      </c>
      <c r="L43" s="154"/>
      <c r="M43" s="156"/>
      <c r="N43" s="267" t="b">
        <v>0</v>
      </c>
      <c r="O43" s="267" t="b">
        <v>0</v>
      </c>
      <c r="P43" s="267" t="b">
        <v>0</v>
      </c>
      <c r="Q43" s="81"/>
      <c r="R43" s="21"/>
    </row>
    <row r="44" spans="1:18" ht="10.95" customHeight="1" x14ac:dyDescent="0.3">
      <c r="A44" s="76"/>
      <c r="B44" s="77">
        <v>14</v>
      </c>
      <c r="C44" s="246" t="s">
        <v>160</v>
      </c>
      <c r="D44" s="99" t="s">
        <v>152</v>
      </c>
      <c r="E44" s="159" t="s">
        <v>178</v>
      </c>
      <c r="F44" s="73">
        <v>3</v>
      </c>
      <c r="G44" s="100" t="s">
        <v>152</v>
      </c>
      <c r="H44" s="146" t="s">
        <v>1</v>
      </c>
      <c r="I44" s="170">
        <v>1</v>
      </c>
      <c r="J44" s="267" t="b">
        <v>0</v>
      </c>
      <c r="K44" s="267" t="b">
        <v>0</v>
      </c>
      <c r="L44" s="154"/>
      <c r="M44" s="156"/>
      <c r="N44" s="267" t="b">
        <v>0</v>
      </c>
      <c r="O44" s="267" t="b">
        <v>0</v>
      </c>
      <c r="P44" s="267" t="b">
        <v>0</v>
      </c>
      <c r="Q44" s="102"/>
      <c r="R44" s="168"/>
    </row>
    <row r="45" spans="1:18" ht="10.95" customHeight="1" x14ac:dyDescent="0.3">
      <c r="A45" s="76"/>
      <c r="B45" s="82">
        <v>15</v>
      </c>
      <c r="C45" s="246" t="s">
        <v>160</v>
      </c>
      <c r="D45" s="99" t="s">
        <v>152</v>
      </c>
      <c r="E45" s="159" t="s">
        <v>179</v>
      </c>
      <c r="F45" s="73">
        <v>1</v>
      </c>
      <c r="G45" s="100" t="s">
        <v>152</v>
      </c>
      <c r="H45" s="146" t="s">
        <v>2</v>
      </c>
      <c r="I45" s="170">
        <v>1</v>
      </c>
      <c r="J45" s="267" t="b">
        <v>0</v>
      </c>
      <c r="K45" s="267" t="b">
        <v>0</v>
      </c>
      <c r="L45" s="154"/>
      <c r="M45" s="156"/>
      <c r="N45" s="267" t="b">
        <v>0</v>
      </c>
      <c r="O45" s="267" t="b">
        <v>0</v>
      </c>
      <c r="P45" s="267" t="b">
        <v>0</v>
      </c>
      <c r="Q45" s="81"/>
      <c r="R45" s="21"/>
    </row>
    <row r="46" spans="1:18" ht="10.95" customHeight="1" x14ac:dyDescent="0.3">
      <c r="A46" s="76"/>
      <c r="B46" s="87">
        <v>16</v>
      </c>
      <c r="C46" s="246" t="s">
        <v>160</v>
      </c>
      <c r="D46" s="99" t="s">
        <v>152</v>
      </c>
      <c r="E46" s="159" t="s">
        <v>180</v>
      </c>
      <c r="F46" s="73">
        <v>1</v>
      </c>
      <c r="G46" s="100" t="s">
        <v>152</v>
      </c>
      <c r="H46" s="146" t="s">
        <v>2</v>
      </c>
      <c r="I46" s="170">
        <v>1</v>
      </c>
      <c r="J46" s="267" t="b">
        <v>0</v>
      </c>
      <c r="K46" s="267" t="b">
        <v>0</v>
      </c>
      <c r="L46" s="154"/>
      <c r="M46" s="156"/>
      <c r="N46" s="267" t="b">
        <v>0</v>
      </c>
      <c r="O46" s="267" t="b">
        <v>0</v>
      </c>
      <c r="P46" s="267" t="b">
        <v>0</v>
      </c>
      <c r="Q46" s="81"/>
      <c r="R46" s="21"/>
    </row>
    <row r="47" spans="1:18" ht="10.95" customHeight="1" x14ac:dyDescent="0.3">
      <c r="A47" s="76"/>
      <c r="B47" s="77">
        <v>17</v>
      </c>
      <c r="C47" s="246" t="s">
        <v>160</v>
      </c>
      <c r="D47" s="99" t="s">
        <v>152</v>
      </c>
      <c r="E47" s="159" t="s">
        <v>181</v>
      </c>
      <c r="F47" s="73">
        <v>1</v>
      </c>
      <c r="G47" s="100" t="s">
        <v>152</v>
      </c>
      <c r="H47" s="146" t="s">
        <v>2</v>
      </c>
      <c r="I47" s="170">
        <v>1</v>
      </c>
      <c r="J47" s="267" t="b">
        <v>0</v>
      </c>
      <c r="K47" s="267" t="b">
        <v>0</v>
      </c>
      <c r="L47" s="154"/>
      <c r="M47" s="156"/>
      <c r="N47" s="267" t="b">
        <v>0</v>
      </c>
      <c r="O47" s="267" t="b">
        <v>0</v>
      </c>
      <c r="P47" s="267" t="b">
        <v>0</v>
      </c>
      <c r="Q47" s="81"/>
      <c r="R47" s="21"/>
    </row>
    <row r="48" spans="1:18" ht="10.95" customHeight="1" x14ac:dyDescent="0.3">
      <c r="A48" s="76"/>
      <c r="B48" s="82">
        <v>18</v>
      </c>
      <c r="C48" s="246" t="s">
        <v>160</v>
      </c>
      <c r="D48" s="99" t="s">
        <v>152</v>
      </c>
      <c r="E48" s="159" t="s">
        <v>182</v>
      </c>
      <c r="F48" s="73">
        <v>1</v>
      </c>
      <c r="G48" s="100" t="s">
        <v>152</v>
      </c>
      <c r="H48" s="146" t="s">
        <v>3</v>
      </c>
      <c r="I48" s="170">
        <v>1</v>
      </c>
      <c r="J48" s="267" t="b">
        <v>0</v>
      </c>
      <c r="K48" s="267" t="b">
        <v>0</v>
      </c>
      <c r="L48" s="154"/>
      <c r="M48" s="156"/>
      <c r="N48" s="267" t="b">
        <v>0</v>
      </c>
      <c r="O48" s="267" t="b">
        <v>0</v>
      </c>
      <c r="P48" s="267" t="b">
        <v>0</v>
      </c>
      <c r="Q48" s="81"/>
      <c r="R48" s="21"/>
    </row>
    <row r="49" spans="1:18" ht="10.95" customHeight="1" x14ac:dyDescent="0.3">
      <c r="A49" s="76"/>
      <c r="B49" s="87">
        <v>19</v>
      </c>
      <c r="C49" s="246" t="s">
        <v>160</v>
      </c>
      <c r="D49" s="99" t="s">
        <v>152</v>
      </c>
      <c r="E49" s="159" t="s">
        <v>183</v>
      </c>
      <c r="F49" s="73">
        <v>1</v>
      </c>
      <c r="G49" s="100" t="s">
        <v>152</v>
      </c>
      <c r="H49" s="146" t="s">
        <v>4</v>
      </c>
      <c r="I49" s="170">
        <v>1</v>
      </c>
      <c r="J49" s="267" t="b">
        <v>0</v>
      </c>
      <c r="K49" s="267" t="b">
        <v>0</v>
      </c>
      <c r="L49" s="154"/>
      <c r="M49" s="156"/>
      <c r="N49" s="267" t="b">
        <v>0</v>
      </c>
      <c r="O49" s="267" t="b">
        <v>0</v>
      </c>
      <c r="P49" s="267" t="b">
        <v>0</v>
      </c>
      <c r="Q49" s="81"/>
      <c r="R49" s="21"/>
    </row>
    <row r="50" spans="1:18" ht="10.95" customHeight="1" x14ac:dyDescent="0.3">
      <c r="A50" s="76"/>
      <c r="B50" s="77">
        <v>20</v>
      </c>
      <c r="C50" s="246" t="s">
        <v>160</v>
      </c>
      <c r="D50" s="99" t="s">
        <v>152</v>
      </c>
      <c r="E50" s="159" t="s">
        <v>184</v>
      </c>
      <c r="F50" s="73">
        <v>1</v>
      </c>
      <c r="G50" s="100" t="s">
        <v>152</v>
      </c>
      <c r="H50" s="146" t="s">
        <v>4</v>
      </c>
      <c r="I50" s="170">
        <v>1</v>
      </c>
      <c r="J50" s="267" t="b">
        <v>0</v>
      </c>
      <c r="K50" s="267" t="b">
        <v>0</v>
      </c>
      <c r="L50" s="154"/>
      <c r="M50" s="156"/>
      <c r="N50" s="267" t="b">
        <v>0</v>
      </c>
      <c r="O50" s="267" t="b">
        <v>0</v>
      </c>
      <c r="P50" s="267" t="b">
        <v>0</v>
      </c>
      <c r="Q50" s="81"/>
      <c r="R50" s="21"/>
    </row>
    <row r="51" spans="1:18" ht="10.95" customHeight="1" x14ac:dyDescent="0.3">
      <c r="A51" s="76"/>
      <c r="B51" s="82">
        <v>21</v>
      </c>
      <c r="C51" s="246" t="s">
        <v>160</v>
      </c>
      <c r="D51" s="99" t="s">
        <v>152</v>
      </c>
      <c r="E51" s="159" t="s">
        <v>185</v>
      </c>
      <c r="F51" s="73">
        <v>1</v>
      </c>
      <c r="G51" s="100" t="s">
        <v>152</v>
      </c>
      <c r="H51" s="146" t="s">
        <v>4</v>
      </c>
      <c r="I51" s="170">
        <v>1</v>
      </c>
      <c r="J51" s="267" t="b">
        <v>0</v>
      </c>
      <c r="K51" s="267" t="b">
        <v>0</v>
      </c>
      <c r="L51" s="154"/>
      <c r="M51" s="156"/>
      <c r="N51" s="267" t="b">
        <v>0</v>
      </c>
      <c r="O51" s="267" t="b">
        <v>0</v>
      </c>
      <c r="P51" s="267" t="b">
        <v>0</v>
      </c>
      <c r="Q51" s="81"/>
      <c r="R51" s="21"/>
    </row>
    <row r="52" spans="1:18" ht="10.95" customHeight="1" x14ac:dyDescent="0.3">
      <c r="A52" s="76"/>
      <c r="B52" s="87">
        <v>22</v>
      </c>
      <c r="C52" s="246" t="s">
        <v>160</v>
      </c>
      <c r="D52" s="202" t="s">
        <v>152</v>
      </c>
      <c r="E52" s="159" t="s">
        <v>186</v>
      </c>
      <c r="F52" s="73">
        <v>1</v>
      </c>
      <c r="G52" s="100" t="s">
        <v>152</v>
      </c>
      <c r="H52" s="178" t="s">
        <v>5</v>
      </c>
      <c r="I52" s="170"/>
      <c r="J52" s="267" t="b">
        <v>0</v>
      </c>
      <c r="K52" s="267" t="b">
        <v>0</v>
      </c>
      <c r="L52" s="154"/>
      <c r="M52" s="156"/>
      <c r="N52" s="267" t="b">
        <v>0</v>
      </c>
      <c r="O52" s="267" t="b">
        <v>0</v>
      </c>
      <c r="P52" s="267" t="b">
        <v>0</v>
      </c>
      <c r="Q52" s="98"/>
      <c r="R52" s="21"/>
    </row>
    <row r="53" spans="1:18" ht="10.95" customHeight="1" x14ac:dyDescent="0.3">
      <c r="A53" s="76"/>
      <c r="B53" s="77">
        <v>23</v>
      </c>
      <c r="C53" s="246" t="s">
        <v>160</v>
      </c>
      <c r="D53" s="99" t="s">
        <v>119</v>
      </c>
      <c r="E53" s="101" t="s">
        <v>187</v>
      </c>
      <c r="F53" s="73">
        <v>1</v>
      </c>
      <c r="G53" s="100" t="s">
        <v>119</v>
      </c>
      <c r="H53" s="146" t="s">
        <v>1</v>
      </c>
      <c r="I53" s="170">
        <v>1</v>
      </c>
      <c r="J53" s="267" t="b">
        <v>0</v>
      </c>
      <c r="K53" s="267" t="b">
        <v>0</v>
      </c>
      <c r="L53" s="154"/>
      <c r="M53" s="156"/>
      <c r="N53" s="267" t="b">
        <v>0</v>
      </c>
      <c r="O53" s="267" t="b">
        <v>0</v>
      </c>
      <c r="P53" s="267" t="b">
        <v>0</v>
      </c>
      <c r="Q53" s="81"/>
      <c r="R53" s="21"/>
    </row>
    <row r="54" spans="1:18" ht="10.95" customHeight="1" x14ac:dyDescent="0.3">
      <c r="A54" s="76"/>
      <c r="B54" s="82">
        <v>24</v>
      </c>
      <c r="C54" s="246" t="s">
        <v>160</v>
      </c>
      <c r="D54" s="99" t="s">
        <v>188</v>
      </c>
      <c r="E54" s="159" t="s">
        <v>189</v>
      </c>
      <c r="F54" s="73">
        <v>1</v>
      </c>
      <c r="G54" s="100" t="s">
        <v>188</v>
      </c>
      <c r="H54" s="146" t="s">
        <v>1</v>
      </c>
      <c r="I54" s="170"/>
      <c r="J54" s="267" t="b">
        <v>0</v>
      </c>
      <c r="K54" s="267" t="b">
        <v>0</v>
      </c>
      <c r="L54" s="154"/>
      <c r="M54" s="156"/>
      <c r="N54" s="267" t="b">
        <v>0</v>
      </c>
      <c r="O54" s="267" t="b">
        <v>0</v>
      </c>
      <c r="P54" s="267" t="b">
        <v>0</v>
      </c>
      <c r="Q54" s="81"/>
      <c r="R54" s="21"/>
    </row>
    <row r="55" spans="1:18" ht="10.95" customHeight="1" x14ac:dyDescent="0.3">
      <c r="A55" s="76"/>
      <c r="B55" s="87">
        <v>25</v>
      </c>
      <c r="C55" s="246" t="s">
        <v>160</v>
      </c>
      <c r="D55" s="99"/>
      <c r="E55" s="101" t="s">
        <v>227</v>
      </c>
      <c r="F55" s="73">
        <v>1</v>
      </c>
      <c r="G55" s="100"/>
      <c r="H55" s="146" t="s">
        <v>2</v>
      </c>
      <c r="I55" s="170">
        <v>1</v>
      </c>
      <c r="J55" s="267" t="b">
        <v>0</v>
      </c>
      <c r="K55" s="267" t="b">
        <v>0</v>
      </c>
      <c r="L55" s="248"/>
      <c r="M55" s="268"/>
      <c r="N55" s="267" t="b">
        <v>0</v>
      </c>
      <c r="O55" s="267" t="b">
        <v>0</v>
      </c>
      <c r="P55" s="267" t="b">
        <v>0</v>
      </c>
      <c r="Q55" s="81"/>
      <c r="R55" s="21"/>
    </row>
    <row r="56" spans="1:18" ht="10.95" customHeight="1" x14ac:dyDescent="0.3">
      <c r="A56" s="76"/>
      <c r="B56" s="77">
        <v>26</v>
      </c>
      <c r="C56" s="246" t="s">
        <v>160</v>
      </c>
      <c r="D56" s="99" t="s">
        <v>163</v>
      </c>
      <c r="E56" s="159" t="s">
        <v>190</v>
      </c>
      <c r="F56" s="73">
        <v>1</v>
      </c>
      <c r="G56" s="100" t="s">
        <v>163</v>
      </c>
      <c r="H56" s="146" t="s">
        <v>5</v>
      </c>
      <c r="I56" s="170"/>
      <c r="J56" s="267" t="b">
        <v>0</v>
      </c>
      <c r="K56" s="267" t="b">
        <v>0</v>
      </c>
      <c r="L56" s="154"/>
      <c r="M56" s="156"/>
      <c r="N56" s="267" t="b">
        <v>0</v>
      </c>
      <c r="O56" s="267" t="b">
        <v>0</v>
      </c>
      <c r="P56" s="267" t="b">
        <v>0</v>
      </c>
      <c r="Q56" s="81"/>
      <c r="R56" s="21"/>
    </row>
    <row r="57" spans="1:18" ht="10.95" customHeight="1" x14ac:dyDescent="0.3">
      <c r="A57" s="76"/>
      <c r="B57" s="82">
        <v>27</v>
      </c>
      <c r="C57" s="246" t="s">
        <v>160</v>
      </c>
      <c r="D57" s="99" t="s">
        <v>191</v>
      </c>
      <c r="E57" s="209" t="s">
        <v>192</v>
      </c>
      <c r="F57" s="73">
        <v>1</v>
      </c>
      <c r="G57" s="100" t="s">
        <v>191</v>
      </c>
      <c r="H57" s="146" t="s">
        <v>3</v>
      </c>
      <c r="I57" s="170">
        <v>4</v>
      </c>
      <c r="J57" s="267" t="b">
        <v>0</v>
      </c>
      <c r="K57" s="267" t="b">
        <v>0</v>
      </c>
      <c r="L57" s="154"/>
      <c r="M57" s="156"/>
      <c r="N57" s="267" t="b">
        <v>0</v>
      </c>
      <c r="O57" s="267" t="b">
        <v>0</v>
      </c>
      <c r="P57" s="267" t="b">
        <v>0</v>
      </c>
      <c r="Q57" s="81"/>
      <c r="R57" s="21"/>
    </row>
    <row r="58" spans="1:18" ht="10.95" customHeight="1" x14ac:dyDescent="0.3">
      <c r="A58" s="76"/>
      <c r="B58" s="87">
        <v>28</v>
      </c>
      <c r="C58" s="246" t="s">
        <v>160</v>
      </c>
      <c r="D58" s="171"/>
      <c r="E58" s="125" t="s">
        <v>514</v>
      </c>
      <c r="F58" s="83"/>
      <c r="G58" s="172"/>
      <c r="H58" s="173"/>
      <c r="I58" s="97">
        <v>1</v>
      </c>
      <c r="J58" s="267" t="b">
        <v>0</v>
      </c>
      <c r="K58" s="267" t="b">
        <v>0</v>
      </c>
      <c r="L58" s="154"/>
      <c r="M58" s="156"/>
      <c r="N58" s="267" t="b">
        <v>0</v>
      </c>
      <c r="O58" s="267" t="b">
        <v>0</v>
      </c>
      <c r="P58" s="267" t="b">
        <v>0</v>
      </c>
      <c r="Q58" s="86"/>
      <c r="R58" s="21"/>
    </row>
    <row r="59" spans="1:18" ht="10.95" customHeight="1" thickBot="1" x14ac:dyDescent="0.35">
      <c r="A59" s="76"/>
      <c r="B59" s="77">
        <v>29</v>
      </c>
      <c r="C59" s="246" t="s">
        <v>160</v>
      </c>
      <c r="D59" s="103" t="s">
        <v>191</v>
      </c>
      <c r="E59" s="242" t="s">
        <v>193</v>
      </c>
      <c r="F59" s="85">
        <v>1</v>
      </c>
      <c r="G59" s="104" t="s">
        <v>191</v>
      </c>
      <c r="H59" s="148" t="s">
        <v>3</v>
      </c>
      <c r="I59" s="97">
        <v>3</v>
      </c>
      <c r="J59" s="267" t="b">
        <v>0</v>
      </c>
      <c r="K59" s="267" t="b">
        <v>0</v>
      </c>
      <c r="L59" s="249"/>
      <c r="M59" s="249"/>
      <c r="N59" s="267" t="b">
        <v>0</v>
      </c>
      <c r="O59" s="267" t="b">
        <v>0</v>
      </c>
      <c r="P59" s="267" t="b">
        <v>0</v>
      </c>
      <c r="Q59" s="105"/>
      <c r="R59" s="21"/>
    </row>
    <row r="60" spans="1:18" ht="4.95" customHeight="1" thickBot="1" x14ac:dyDescent="0.35"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6"/>
    </row>
    <row r="61" spans="1:18" ht="10.95" customHeight="1" outlineLevel="1" x14ac:dyDescent="0.3">
      <c r="B61" s="69">
        <v>1</v>
      </c>
      <c r="C61" s="247" t="s">
        <v>194</v>
      </c>
      <c r="D61" s="106" t="s">
        <v>161</v>
      </c>
      <c r="E61" s="240" t="s">
        <v>195</v>
      </c>
      <c r="F61" s="72">
        <v>2</v>
      </c>
      <c r="G61" s="107" t="s">
        <v>196</v>
      </c>
      <c r="H61" s="73" t="s">
        <v>5</v>
      </c>
      <c r="I61" s="108">
        <v>3</v>
      </c>
      <c r="J61" s="267" t="b">
        <v>0</v>
      </c>
      <c r="K61" s="267" t="b">
        <v>0</v>
      </c>
      <c r="L61" s="154"/>
      <c r="M61" s="156"/>
      <c r="N61" s="267" t="b">
        <v>0</v>
      </c>
      <c r="O61" s="267" t="b">
        <v>0</v>
      </c>
      <c r="P61" s="267" t="b">
        <v>0</v>
      </c>
      <c r="Q61" s="149"/>
      <c r="R61" s="165"/>
    </row>
    <row r="62" spans="1:18" ht="10.95" customHeight="1" outlineLevel="1" x14ac:dyDescent="0.3">
      <c r="B62" s="77">
        <v>2</v>
      </c>
      <c r="C62" s="247" t="s">
        <v>194</v>
      </c>
      <c r="D62" s="109" t="s">
        <v>161</v>
      </c>
      <c r="E62" s="194" t="s">
        <v>197</v>
      </c>
      <c r="F62" s="79">
        <v>2</v>
      </c>
      <c r="G62" s="110" t="s">
        <v>198</v>
      </c>
      <c r="H62" s="73" t="s">
        <v>2</v>
      </c>
      <c r="I62" s="97">
        <v>3</v>
      </c>
      <c r="J62" s="267" t="b">
        <v>0</v>
      </c>
      <c r="K62" s="267" t="b">
        <v>0</v>
      </c>
      <c r="L62" s="154"/>
      <c r="M62" s="156"/>
      <c r="N62" s="267" t="b">
        <v>0</v>
      </c>
      <c r="O62" s="267" t="b">
        <v>0</v>
      </c>
      <c r="P62" s="267" t="b">
        <v>0</v>
      </c>
      <c r="Q62" s="150"/>
    </row>
    <row r="63" spans="1:18" ht="10.95" customHeight="1" outlineLevel="1" x14ac:dyDescent="0.3">
      <c r="B63" s="82">
        <v>3</v>
      </c>
      <c r="C63" s="247" t="s">
        <v>194</v>
      </c>
      <c r="D63" s="109" t="s">
        <v>163</v>
      </c>
      <c r="E63" s="194" t="s">
        <v>199</v>
      </c>
      <c r="F63" s="79">
        <v>2</v>
      </c>
      <c r="G63" s="110" t="s">
        <v>200</v>
      </c>
      <c r="H63" s="73" t="s">
        <v>2</v>
      </c>
      <c r="I63" s="97">
        <v>4</v>
      </c>
      <c r="J63" s="267" t="b">
        <v>0</v>
      </c>
      <c r="K63" s="267" t="b">
        <v>0</v>
      </c>
      <c r="L63" s="154"/>
      <c r="M63" s="156"/>
      <c r="N63" s="267" t="b">
        <v>0</v>
      </c>
      <c r="O63" s="267" t="b">
        <v>0</v>
      </c>
      <c r="P63" s="267" t="b">
        <v>0</v>
      </c>
      <c r="Q63" s="150"/>
    </row>
    <row r="64" spans="1:18" ht="10.95" customHeight="1" outlineLevel="1" x14ac:dyDescent="0.3">
      <c r="B64" s="77">
        <v>4</v>
      </c>
      <c r="C64" s="247" t="s">
        <v>194</v>
      </c>
      <c r="D64" s="109" t="s">
        <v>191</v>
      </c>
      <c r="E64" s="194" t="s">
        <v>201</v>
      </c>
      <c r="F64" s="79">
        <v>2</v>
      </c>
      <c r="G64" s="78" t="s">
        <v>202</v>
      </c>
      <c r="H64" s="73" t="s">
        <v>5</v>
      </c>
      <c r="I64" s="97">
        <v>4</v>
      </c>
      <c r="J64" s="267" t="b">
        <v>0</v>
      </c>
      <c r="K64" s="267" t="b">
        <v>0</v>
      </c>
      <c r="L64" s="154"/>
      <c r="M64" s="156"/>
      <c r="N64" s="267" t="b">
        <v>0</v>
      </c>
      <c r="O64" s="267" t="b">
        <v>0</v>
      </c>
      <c r="P64" s="267" t="b">
        <v>0</v>
      </c>
      <c r="Q64" s="150"/>
    </row>
    <row r="65" spans="2:17" ht="10.95" customHeight="1" outlineLevel="1" x14ac:dyDescent="0.3">
      <c r="B65" s="82">
        <v>5</v>
      </c>
      <c r="C65" s="247" t="s">
        <v>194</v>
      </c>
      <c r="D65" s="109" t="s">
        <v>203</v>
      </c>
      <c r="E65" s="194" t="s">
        <v>204</v>
      </c>
      <c r="F65" s="79">
        <v>2</v>
      </c>
      <c r="G65" s="110" t="s">
        <v>205</v>
      </c>
      <c r="H65" s="73" t="s">
        <v>5</v>
      </c>
      <c r="I65" s="97">
        <v>4</v>
      </c>
      <c r="J65" s="267" t="b">
        <v>0</v>
      </c>
      <c r="K65" s="267" t="b">
        <v>0</v>
      </c>
      <c r="L65" s="154"/>
      <c r="M65" s="156"/>
      <c r="N65" s="267" t="b">
        <v>0</v>
      </c>
      <c r="O65" s="267" t="b">
        <v>0</v>
      </c>
      <c r="P65" s="267" t="b">
        <v>0</v>
      </c>
      <c r="Q65" s="150"/>
    </row>
    <row r="66" spans="2:17" ht="10.95" customHeight="1" outlineLevel="1" x14ac:dyDescent="0.3">
      <c r="B66" s="77">
        <v>6</v>
      </c>
      <c r="C66" s="247" t="s">
        <v>194</v>
      </c>
      <c r="D66" s="109" t="s">
        <v>119</v>
      </c>
      <c r="E66" s="161" t="s">
        <v>206</v>
      </c>
      <c r="F66" s="79">
        <v>2</v>
      </c>
      <c r="G66" s="110" t="s">
        <v>207</v>
      </c>
      <c r="H66" s="73" t="s">
        <v>1</v>
      </c>
      <c r="I66" s="97">
        <v>1</v>
      </c>
      <c r="J66" s="267" t="b">
        <v>0</v>
      </c>
      <c r="K66" s="267" t="b">
        <v>0</v>
      </c>
      <c r="L66" s="154"/>
      <c r="M66" s="156"/>
      <c r="N66" s="267" t="b">
        <v>0</v>
      </c>
      <c r="O66" s="267" t="b">
        <v>0</v>
      </c>
      <c r="P66" s="267" t="b">
        <v>0</v>
      </c>
      <c r="Q66" s="150"/>
    </row>
    <row r="67" spans="2:17" ht="10.95" customHeight="1" outlineLevel="1" x14ac:dyDescent="0.3">
      <c r="B67" s="82">
        <v>7</v>
      </c>
      <c r="C67" s="247" t="s">
        <v>194</v>
      </c>
      <c r="D67" s="109" t="s">
        <v>119</v>
      </c>
      <c r="E67" s="194" t="s">
        <v>208</v>
      </c>
      <c r="F67" s="79">
        <v>2</v>
      </c>
      <c r="G67" s="110" t="s">
        <v>209</v>
      </c>
      <c r="H67" s="73" t="s">
        <v>1</v>
      </c>
      <c r="I67" s="97">
        <v>1</v>
      </c>
      <c r="J67" s="267" t="b">
        <v>0</v>
      </c>
      <c r="K67" s="267" t="b">
        <v>0</v>
      </c>
      <c r="L67" s="154"/>
      <c r="M67" s="156"/>
      <c r="N67" s="267" t="b">
        <v>0</v>
      </c>
      <c r="O67" s="267" t="b">
        <v>0</v>
      </c>
      <c r="P67" s="267" t="b">
        <v>0</v>
      </c>
      <c r="Q67" s="150"/>
    </row>
    <row r="68" spans="2:17" ht="10.95" customHeight="1" outlineLevel="1" x14ac:dyDescent="0.3">
      <c r="B68" s="77">
        <v>8</v>
      </c>
      <c r="C68" s="247" t="s">
        <v>194</v>
      </c>
      <c r="D68" s="109" t="s">
        <v>132</v>
      </c>
      <c r="E68" s="194" t="s">
        <v>210</v>
      </c>
      <c r="F68" s="194">
        <v>2</v>
      </c>
      <c r="G68" s="195" t="s">
        <v>211</v>
      </c>
      <c r="H68" s="73" t="s">
        <v>1</v>
      </c>
      <c r="I68" s="97">
        <v>3</v>
      </c>
      <c r="J68" s="267" t="b">
        <v>0</v>
      </c>
      <c r="K68" s="267" t="b">
        <v>0</v>
      </c>
      <c r="L68" s="154"/>
      <c r="M68" s="156"/>
      <c r="N68" s="267" t="b">
        <v>0</v>
      </c>
      <c r="O68" s="267" t="b">
        <v>0</v>
      </c>
      <c r="P68" s="267" t="b">
        <v>0</v>
      </c>
      <c r="Q68" s="150"/>
    </row>
    <row r="69" spans="2:17" ht="10.95" customHeight="1" outlineLevel="1" x14ac:dyDescent="0.3">
      <c r="B69" s="82">
        <v>9</v>
      </c>
      <c r="C69" s="247" t="s">
        <v>194</v>
      </c>
      <c r="D69" s="109" t="s">
        <v>134</v>
      </c>
      <c r="E69" s="194" t="s">
        <v>212</v>
      </c>
      <c r="F69" s="79">
        <v>2</v>
      </c>
      <c r="G69" s="100" t="s">
        <v>211</v>
      </c>
      <c r="H69" s="73" t="s">
        <v>1</v>
      </c>
      <c r="I69" s="97">
        <v>3</v>
      </c>
      <c r="J69" s="267" t="b">
        <v>0</v>
      </c>
      <c r="K69" s="267" t="b">
        <v>0</v>
      </c>
      <c r="L69" s="154"/>
      <c r="M69" s="156"/>
      <c r="N69" s="267" t="b">
        <v>0</v>
      </c>
      <c r="O69" s="267" t="b">
        <v>0</v>
      </c>
      <c r="P69" s="267" t="b">
        <v>0</v>
      </c>
      <c r="Q69" s="150"/>
    </row>
    <row r="70" spans="2:17" ht="10.95" customHeight="1" outlineLevel="1" x14ac:dyDescent="0.3">
      <c r="B70" s="77">
        <v>10</v>
      </c>
      <c r="C70" s="247" t="s">
        <v>194</v>
      </c>
      <c r="D70" s="109" t="s">
        <v>119</v>
      </c>
      <c r="E70" s="159" t="s">
        <v>213</v>
      </c>
      <c r="F70" s="79">
        <v>2</v>
      </c>
      <c r="G70" s="100" t="s">
        <v>211</v>
      </c>
      <c r="H70" s="73" t="s">
        <v>0</v>
      </c>
      <c r="I70" s="97">
        <v>1</v>
      </c>
      <c r="J70" s="267" t="b">
        <v>0</v>
      </c>
      <c r="K70" s="267" t="b">
        <v>0</v>
      </c>
      <c r="L70" s="156"/>
      <c r="M70" s="156"/>
      <c r="N70" s="267" t="b">
        <v>0</v>
      </c>
      <c r="O70" s="267" t="b">
        <v>0</v>
      </c>
      <c r="P70" s="267" t="b">
        <v>0</v>
      </c>
      <c r="Q70" s="150"/>
    </row>
    <row r="71" spans="2:17" ht="10.95" customHeight="1" outlineLevel="1" x14ac:dyDescent="0.3">
      <c r="B71" s="82">
        <v>11</v>
      </c>
      <c r="C71" s="247" t="s">
        <v>194</v>
      </c>
      <c r="D71" s="109" t="s">
        <v>191</v>
      </c>
      <c r="E71" s="210" t="s">
        <v>214</v>
      </c>
      <c r="F71" s="79">
        <v>2</v>
      </c>
      <c r="G71" s="100" t="s">
        <v>215</v>
      </c>
      <c r="H71" s="73" t="s">
        <v>5</v>
      </c>
      <c r="I71" s="97"/>
      <c r="J71" s="267" t="b">
        <v>0</v>
      </c>
      <c r="K71" s="267" t="b">
        <v>0</v>
      </c>
      <c r="L71" s="156"/>
      <c r="M71" s="156"/>
      <c r="N71" s="267" t="b">
        <v>0</v>
      </c>
      <c r="O71" s="267" t="b">
        <v>0</v>
      </c>
      <c r="P71" s="267" t="b">
        <v>0</v>
      </c>
      <c r="Q71" s="179"/>
    </row>
    <row r="72" spans="2:17" ht="10.95" customHeight="1" outlineLevel="1" thickBot="1" x14ac:dyDescent="0.35">
      <c r="B72" s="77">
        <v>12</v>
      </c>
      <c r="C72" s="247" t="s">
        <v>194</v>
      </c>
      <c r="D72" s="111" t="s">
        <v>119</v>
      </c>
      <c r="E72" s="214" t="s">
        <v>216</v>
      </c>
      <c r="F72" s="112">
        <v>2</v>
      </c>
      <c r="G72" s="104" t="s">
        <v>217</v>
      </c>
      <c r="H72" s="85" t="s">
        <v>1</v>
      </c>
      <c r="I72" s="113">
        <v>2</v>
      </c>
      <c r="J72" s="267" t="b">
        <v>0</v>
      </c>
      <c r="K72" s="267" t="b">
        <v>0</v>
      </c>
      <c r="L72" s="156"/>
      <c r="M72" s="156"/>
      <c r="N72" s="267" t="b">
        <v>0</v>
      </c>
      <c r="O72" s="267" t="b">
        <v>0</v>
      </c>
      <c r="P72" s="267" t="b">
        <v>0</v>
      </c>
      <c r="Q72" s="151"/>
    </row>
    <row r="73" spans="2:17" ht="15" thickBot="1" x14ac:dyDescent="0.35">
      <c r="B73" s="82">
        <v>13</v>
      </c>
      <c r="E73" s="159" t="s">
        <v>648</v>
      </c>
      <c r="H73" s="85" t="s">
        <v>1</v>
      </c>
      <c r="J73" s="267" t="b">
        <v>0</v>
      </c>
      <c r="K73" s="267" t="b">
        <v>0</v>
      </c>
      <c r="L73" s="168"/>
      <c r="M73" s="168"/>
      <c r="N73" s="267" t="b">
        <v>0</v>
      </c>
      <c r="O73" s="267" t="b">
        <v>0</v>
      </c>
      <c r="P73" s="267" t="b">
        <v>0</v>
      </c>
    </row>
  </sheetData>
  <autoFilter ref="B4:P73" xr:uid="{199A7E5E-B464-42E2-BE79-E4495DD6AA81}"/>
  <dataConsolidate/>
  <mergeCells count="5">
    <mergeCell ref="B3:H3"/>
    <mergeCell ref="J3:Q3"/>
    <mergeCell ref="B24:Q24"/>
    <mergeCell ref="B30:Q30"/>
    <mergeCell ref="B60:Q60"/>
  </mergeCells>
  <phoneticPr fontId="3" type="noConversion"/>
  <conditionalFormatting sqref="J31:P59">
    <cfRule type="containsText" dxfId="30" priority="28" operator="containsText" text="CONECTADO">
      <formula>NOT(ISERROR(SEARCH("CONECTADO",J31)))</formula>
    </cfRule>
    <cfRule type="containsText" dxfId="29" priority="29" operator="containsText" text="CABLEADO">
      <formula>NOT(ISERROR(SEARCH("CABLEADO",J31)))</formula>
    </cfRule>
    <cfRule type="containsText" dxfId="28" priority="30" operator="containsText" text="INSTALADO">
      <formula>NOT(ISERROR(SEARCH("INSTALADO",J31)))</formula>
    </cfRule>
  </conditionalFormatting>
  <conditionalFormatting sqref="N4:O4 P4:P8 J4:J23 L5:O8 K5:K23 L9:P23 J25:P29 J61:P1048576">
    <cfRule type="containsText" dxfId="27" priority="67" operator="containsText" text="CONECTADO">
      <formula>NOT(ISERROR(SEARCH("CONECTADO",J4)))</formula>
    </cfRule>
    <cfRule type="containsText" dxfId="26" priority="68" operator="containsText" text="CABLEADO">
      <formula>NOT(ISERROR(SEARCH("CABLEADO",J4)))</formula>
    </cfRule>
    <cfRule type="containsText" dxfId="25" priority="70" operator="containsText" text="INSTALADO">
      <formula>NOT(ISERROR(SEARCH("INSTALADO",J4)))</formula>
    </cfRule>
  </conditionalFormatting>
  <conditionalFormatting sqref="Q71">
    <cfRule type="containsText" dxfId="24" priority="1" operator="containsText" text="CONECTADO">
      <formula>NOT(ISERROR(SEARCH("CONECTADO",Q71)))</formula>
    </cfRule>
    <cfRule type="containsText" dxfId="23" priority="2" operator="containsText" text="CABLEADO">
      <formula>NOT(ISERROR(SEARCH("CABLEADO",Q71)))</formula>
    </cfRule>
    <cfRule type="containsText" dxfId="22" priority="3" operator="containsText" text="INSTALADO">
      <formula>NOT(ISERROR(SEARCH("INSTALADO",Q71)))</formula>
    </cfRule>
  </conditionalFormatting>
  <conditionalFormatting sqref="Q4:R23 Q25:R29 Q31:R59 Q61:R70 R71 Q72:R1048576">
    <cfRule type="containsText" dxfId="21" priority="69" operator="containsText" text="INSTALADO">
      <formula>NOT(ISERROR(SEARCH("INSTALADO",Q4)))</formula>
    </cfRule>
  </conditionalFormatting>
  <dataValidations count="2">
    <dataValidation type="list" allowBlank="1" showInputMessage="1" showErrorMessage="1" sqref="C6:C23" xr:uid="{EE731E1C-597C-4758-8064-3ED5E65CF8FD}">
      <formula1>"+AUX!+A+AUX!$A$2:$A$14"</formula1>
    </dataValidation>
    <dataValidation type="list" allowBlank="1" showInputMessage="1" showErrorMessage="1" sqref="C5" xr:uid="{489B9310-DB6D-4AFD-A9A4-438FC227C061}">
      <formula1>"+AUX!AUX!$A$2:$A$14"</formula1>
    </dataValidation>
  </dataValidations>
  <pageMargins left="0.23622047244094491" right="0.23622047244094491" top="0.74803149606299213" bottom="0.74803149606299213" header="0.31496062992125984" footer="0.31496062992125984"/>
  <pageSetup scale="78" fitToHeight="0" orientation="portrait" r:id="rId1"/>
  <headerFooter>
    <oddHeader>&amp;R&amp;"Calibri"&amp;10&amp;K000000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397B-86D6-43D3-BEE3-76DB9EFEFA6B}">
  <sheetPr>
    <tabColor rgb="FF92D050"/>
    <pageSetUpPr fitToPage="1"/>
  </sheetPr>
  <dimension ref="A1:BR133"/>
  <sheetViews>
    <sheetView zoomScale="90" zoomScaleNormal="90" workbookViewId="0">
      <pane xSplit="3" ySplit="4" topLeftCell="Y5" activePane="bottomRight" state="frozen"/>
      <selection pane="topRight" activeCell="E1" sqref="E1"/>
      <selection pane="bottomLeft" activeCell="A5" sqref="A5"/>
      <selection pane="bottomRight" activeCell="AE23" sqref="AE23"/>
    </sheetView>
  </sheetViews>
  <sheetFormatPr baseColWidth="10" defaultColWidth="9.109375" defaultRowHeight="14.4" x14ac:dyDescent="0.3"/>
  <cols>
    <col min="1" max="1" width="1.44140625" customWidth="1"/>
    <col min="2" max="2" width="5.77734375" customWidth="1"/>
    <col min="3" max="3" width="12.77734375" style="126" customWidth="1"/>
    <col min="4" max="4" width="31.77734375" style="126" customWidth="1"/>
    <col min="5" max="5" width="16.33203125" style="126" customWidth="1"/>
    <col min="6" max="6" width="15.44140625" style="17" customWidth="1"/>
    <col min="7" max="7" width="17.44140625" style="17" customWidth="1"/>
    <col min="8" max="8" width="14.33203125" style="17" customWidth="1"/>
    <col min="9" max="9" width="22" customWidth="1"/>
    <col min="10" max="10" width="20.44140625" customWidth="1"/>
    <col min="11" max="12" width="18.88671875" customWidth="1"/>
    <col min="13" max="13" width="18.33203125" customWidth="1"/>
    <col min="14" max="15" width="14.5546875" customWidth="1"/>
    <col min="16" max="16" width="15.109375" customWidth="1"/>
    <col min="17" max="17" width="2.109375" customWidth="1"/>
    <col min="18" max="18" width="11.5546875" customWidth="1"/>
    <col min="19" max="20" width="18" customWidth="1"/>
    <col min="21" max="21" width="16.6640625" customWidth="1"/>
    <col min="22" max="22" width="16.5546875" customWidth="1"/>
    <col min="23" max="23" width="14.5546875" hidden="1" customWidth="1"/>
    <col min="24" max="24" width="15.77734375" customWidth="1"/>
    <col min="25" max="25" width="14.5546875" customWidth="1"/>
    <col min="26" max="26" width="1" customWidth="1"/>
    <col min="27" max="27" width="10.44140625" customWidth="1"/>
    <col min="28" max="28" width="1.109375" customWidth="1"/>
    <col min="29" max="29" width="13.6640625" customWidth="1"/>
    <col min="30" max="30" width="1.21875" customWidth="1"/>
    <col min="31" max="31" width="8.6640625" customWidth="1"/>
    <col min="32" max="32" width="1.109375" customWidth="1"/>
    <col min="33" max="33" width="14.88671875" customWidth="1"/>
    <col min="34" max="34" width="1" customWidth="1"/>
    <col min="35" max="35" width="11.44140625" customWidth="1"/>
    <col min="36" max="36" width="1" customWidth="1"/>
    <col min="37" max="37" width="9.33203125" customWidth="1"/>
    <col min="38" max="38" width="1.109375" customWidth="1"/>
    <col min="39" max="39" width="9.44140625" customWidth="1"/>
    <col min="40" max="40" width="1.5546875" customWidth="1"/>
    <col min="41" max="41" width="12.109375" customWidth="1"/>
    <col min="42" max="42" width="1.5546875" customWidth="1"/>
    <col min="43" max="43" width="11.33203125" bestFit="1" customWidth="1"/>
    <col min="44" max="44" width="1.21875" customWidth="1"/>
    <col min="45" max="45" width="9.6640625" bestFit="1" customWidth="1"/>
    <col min="46" max="46" width="1.21875" customWidth="1"/>
    <col min="47" max="47" width="13.5546875" customWidth="1"/>
  </cols>
  <sheetData>
    <row r="1" spans="2:47" ht="13.8" customHeight="1" x14ac:dyDescent="0.3">
      <c r="P1" s="164">
        <f>COUNTIFS(I5:I130,"Con sensor de posición")</f>
        <v>52</v>
      </c>
      <c r="Q1" s="164"/>
      <c r="R1" s="164"/>
      <c r="S1" s="164"/>
      <c r="T1" s="164"/>
      <c r="U1" s="164"/>
      <c r="V1" s="164"/>
      <c r="W1" s="164"/>
      <c r="X1" s="164"/>
      <c r="Y1" s="164"/>
    </row>
    <row r="2" spans="2:47" ht="30.6" customHeight="1" thickBot="1" x14ac:dyDescent="0.35">
      <c r="B2" s="257" t="s">
        <v>678</v>
      </c>
      <c r="C2" s="257"/>
      <c r="D2" s="257"/>
      <c r="E2" s="257"/>
      <c r="F2" s="257"/>
      <c r="G2" s="257"/>
      <c r="H2" s="257"/>
      <c r="I2" s="257"/>
      <c r="J2" s="290" t="s">
        <v>679</v>
      </c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</row>
    <row r="3" spans="2:47" ht="16.2" thickBot="1" x14ac:dyDescent="0.35">
      <c r="B3" s="127"/>
      <c r="C3" s="127"/>
      <c r="D3" s="127"/>
      <c r="E3" s="127"/>
      <c r="F3" s="127"/>
      <c r="G3" s="127"/>
      <c r="H3" s="127"/>
      <c r="I3" s="127"/>
      <c r="J3" s="291" t="s">
        <v>686</v>
      </c>
      <c r="K3" s="292"/>
      <c r="L3" s="292"/>
      <c r="M3" s="292"/>
      <c r="N3" s="292"/>
      <c r="O3" s="292"/>
      <c r="P3" s="292"/>
      <c r="R3" s="293" t="s">
        <v>687</v>
      </c>
      <c r="S3" s="294"/>
      <c r="T3" s="294"/>
      <c r="U3" s="294"/>
      <c r="V3" s="294"/>
      <c r="W3" s="294"/>
      <c r="X3" s="294"/>
      <c r="Y3" s="294"/>
    </row>
    <row r="4" spans="2:47" ht="25.95" customHeight="1" x14ac:dyDescent="0.3">
      <c r="B4" s="181" t="s">
        <v>228</v>
      </c>
      <c r="C4" s="183" t="s">
        <v>73</v>
      </c>
      <c r="D4" s="256" t="s">
        <v>665</v>
      </c>
      <c r="E4" s="253" t="s">
        <v>667</v>
      </c>
      <c r="F4" s="128" t="s">
        <v>668</v>
      </c>
      <c r="G4" s="128" t="s">
        <v>675</v>
      </c>
      <c r="H4" s="128" t="s">
        <v>669</v>
      </c>
      <c r="I4" s="129" t="s">
        <v>118</v>
      </c>
      <c r="J4" s="270" t="s">
        <v>698</v>
      </c>
      <c r="K4" s="271" t="s">
        <v>695</v>
      </c>
      <c r="L4" s="262" t="s">
        <v>699</v>
      </c>
      <c r="M4" s="262" t="s">
        <v>696</v>
      </c>
      <c r="N4" s="262" t="s">
        <v>697</v>
      </c>
      <c r="O4" s="262" t="s">
        <v>689</v>
      </c>
      <c r="P4" s="180" t="s">
        <v>688</v>
      </c>
      <c r="Q4" s="160"/>
      <c r="R4" s="260" t="s">
        <v>224</v>
      </c>
      <c r="S4" s="182" t="s">
        <v>677</v>
      </c>
      <c r="T4" s="269" t="s">
        <v>694</v>
      </c>
      <c r="U4" s="261" t="s">
        <v>700</v>
      </c>
      <c r="V4" s="261" t="s">
        <v>701</v>
      </c>
      <c r="W4" s="234" t="s">
        <v>627</v>
      </c>
      <c r="X4" s="259" t="s">
        <v>690</v>
      </c>
      <c r="Y4" s="259" t="s">
        <v>688</v>
      </c>
    </row>
    <row r="5" spans="2:47" s="76" customFormat="1" x14ac:dyDescent="0.3">
      <c r="B5" s="73">
        <v>1</v>
      </c>
      <c r="C5" s="157" t="s">
        <v>229</v>
      </c>
      <c r="D5" s="131" t="s">
        <v>232</v>
      </c>
      <c r="E5" s="131" t="s">
        <v>230</v>
      </c>
      <c r="F5" s="131" t="s">
        <v>231</v>
      </c>
      <c r="G5" s="131" t="s">
        <v>670</v>
      </c>
      <c r="H5" s="131" t="s">
        <v>16</v>
      </c>
      <c r="I5" s="132" t="s">
        <v>233</v>
      </c>
      <c r="J5" s="258" t="b">
        <v>0</v>
      </c>
      <c r="K5" s="207"/>
      <c r="L5" s="258" t="b">
        <v>0</v>
      </c>
      <c r="M5" s="258" t="b">
        <v>0</v>
      </c>
      <c r="N5" s="258" t="b">
        <v>0</v>
      </c>
      <c r="O5" s="258" t="b">
        <v>0</v>
      </c>
      <c r="P5" s="207"/>
      <c r="R5" s="258" t="b">
        <v>0</v>
      </c>
      <c r="S5" s="158">
        <v>19</v>
      </c>
      <c r="T5" s="258" t="b">
        <v>0</v>
      </c>
      <c r="U5" s="258" t="b">
        <v>0</v>
      </c>
      <c r="V5" s="258" t="b">
        <v>0</v>
      </c>
      <c r="W5" s="206"/>
      <c r="X5" s="258" t="b">
        <v>0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2:47" s="76" customFormat="1" x14ac:dyDescent="0.3">
      <c r="B6" s="197">
        <v>2</v>
      </c>
      <c r="C6" s="157" t="s">
        <v>234</v>
      </c>
      <c r="D6" s="131" t="s">
        <v>235</v>
      </c>
      <c r="E6" s="131" t="s">
        <v>230</v>
      </c>
      <c r="F6" s="131" t="s">
        <v>231</v>
      </c>
      <c r="G6" s="131" t="s">
        <v>671</v>
      </c>
      <c r="H6" s="131" t="s">
        <v>16</v>
      </c>
      <c r="I6" s="132" t="s">
        <v>233</v>
      </c>
      <c r="J6" s="258" t="b">
        <v>0</v>
      </c>
      <c r="K6" s="207"/>
      <c r="L6" s="258" t="b">
        <v>0</v>
      </c>
      <c r="M6" s="258" t="b">
        <v>0</v>
      </c>
      <c r="N6" s="258" t="b">
        <v>0</v>
      </c>
      <c r="O6" s="258" t="b">
        <v>0</v>
      </c>
      <c r="P6" s="207"/>
      <c r="R6" s="258" t="b">
        <v>0</v>
      </c>
      <c r="S6" s="131">
        <v>19</v>
      </c>
      <c r="T6" s="258" t="b">
        <v>0</v>
      </c>
      <c r="U6" s="258" t="b">
        <v>0</v>
      </c>
      <c r="V6" s="258" t="b">
        <v>0</v>
      </c>
      <c r="W6" s="163"/>
      <c r="X6" s="258" t="b">
        <v>0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2:47" s="76" customFormat="1" x14ac:dyDescent="0.3">
      <c r="B7" s="73">
        <v>3</v>
      </c>
      <c r="C7" s="157" t="s">
        <v>236</v>
      </c>
      <c r="D7" s="131" t="s">
        <v>237</v>
      </c>
      <c r="E7" s="131" t="s">
        <v>230</v>
      </c>
      <c r="F7" s="131" t="s">
        <v>231</v>
      </c>
      <c r="G7" s="131"/>
      <c r="H7" s="131" t="s">
        <v>16</v>
      </c>
      <c r="I7" s="132" t="s">
        <v>233</v>
      </c>
      <c r="J7" s="258" t="b">
        <v>0</v>
      </c>
      <c r="K7" s="207"/>
      <c r="L7" s="258" t="b">
        <v>0</v>
      </c>
      <c r="M7" s="258" t="b">
        <v>0</v>
      </c>
      <c r="N7" s="258" t="b">
        <v>0</v>
      </c>
      <c r="O7" s="258" t="b">
        <v>0</v>
      </c>
      <c r="P7" s="207"/>
      <c r="R7" s="258" t="b">
        <v>0</v>
      </c>
      <c r="S7" s="131">
        <v>13</v>
      </c>
      <c r="T7" s="258" t="b">
        <v>0</v>
      </c>
      <c r="U7" s="258" t="b">
        <v>0</v>
      </c>
      <c r="V7" s="258" t="b">
        <v>0</v>
      </c>
      <c r="W7" s="163"/>
      <c r="X7" s="258" t="b">
        <v>0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2:47" s="76" customFormat="1" x14ac:dyDescent="0.3">
      <c r="B8" s="73">
        <v>4</v>
      </c>
      <c r="C8" s="157" t="s">
        <v>238</v>
      </c>
      <c r="D8" s="131" t="s">
        <v>239</v>
      </c>
      <c r="E8" s="131" t="s">
        <v>230</v>
      </c>
      <c r="F8" s="131" t="s">
        <v>231</v>
      </c>
      <c r="G8" s="131"/>
      <c r="H8" s="131" t="s">
        <v>16</v>
      </c>
      <c r="I8" s="132" t="s">
        <v>233</v>
      </c>
      <c r="J8" s="258" t="b">
        <v>0</v>
      </c>
      <c r="K8" s="207"/>
      <c r="L8" s="258" t="b">
        <v>0</v>
      </c>
      <c r="M8" s="258" t="b">
        <v>0</v>
      </c>
      <c r="N8" s="258" t="b">
        <v>0</v>
      </c>
      <c r="O8" s="258" t="b">
        <v>0</v>
      </c>
      <c r="P8" s="207"/>
      <c r="R8" s="258" t="b">
        <v>0</v>
      </c>
      <c r="S8" s="131">
        <v>19</v>
      </c>
      <c r="T8" s="258" t="b">
        <v>0</v>
      </c>
      <c r="U8" s="258" t="b">
        <v>0</v>
      </c>
      <c r="V8" s="258" t="b">
        <v>0</v>
      </c>
      <c r="W8" s="163"/>
      <c r="X8" s="258" t="b">
        <v>0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2:47" s="76" customFormat="1" x14ac:dyDescent="0.3">
      <c r="B9" s="197">
        <v>5</v>
      </c>
      <c r="C9" s="157" t="s">
        <v>240</v>
      </c>
      <c r="D9" s="131" t="s">
        <v>241</v>
      </c>
      <c r="E9" s="131" t="s">
        <v>230</v>
      </c>
      <c r="F9" s="131" t="s">
        <v>231</v>
      </c>
      <c r="G9" s="131" t="s">
        <v>221</v>
      </c>
      <c r="H9" s="131" t="s">
        <v>16</v>
      </c>
      <c r="I9" s="132" t="s">
        <v>233</v>
      </c>
      <c r="J9" s="258" t="b">
        <v>0</v>
      </c>
      <c r="K9" s="207"/>
      <c r="L9" s="258" t="b">
        <v>0</v>
      </c>
      <c r="M9" s="258" t="b">
        <v>0</v>
      </c>
      <c r="N9" s="258" t="b">
        <v>0</v>
      </c>
      <c r="O9" s="258" t="b">
        <v>0</v>
      </c>
      <c r="P9" s="207"/>
      <c r="R9" s="258" t="b">
        <v>0</v>
      </c>
      <c r="S9" s="131">
        <v>19</v>
      </c>
      <c r="T9" s="258" t="b">
        <v>0</v>
      </c>
      <c r="U9" s="258" t="b">
        <v>0</v>
      </c>
      <c r="V9" s="258" t="b">
        <v>0</v>
      </c>
      <c r="W9" s="163"/>
      <c r="X9" s="258" t="b">
        <v>0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2:47" s="76" customFormat="1" ht="15" customHeight="1" x14ac:dyDescent="0.3">
      <c r="B10" s="73">
        <v>6</v>
      </c>
      <c r="C10" s="157" t="s">
        <v>242</v>
      </c>
      <c r="D10" s="131" t="s">
        <v>243</v>
      </c>
      <c r="E10" s="131" t="s">
        <v>230</v>
      </c>
      <c r="F10" s="131" t="s">
        <v>231</v>
      </c>
      <c r="G10" s="131" t="s">
        <v>676</v>
      </c>
      <c r="H10" s="131" t="s">
        <v>16</v>
      </c>
      <c r="I10" s="132" t="s">
        <v>233</v>
      </c>
      <c r="J10" s="258" t="b">
        <v>0</v>
      </c>
      <c r="K10" s="207"/>
      <c r="L10" s="258" t="b">
        <v>0</v>
      </c>
      <c r="M10" s="258" t="b">
        <v>0</v>
      </c>
      <c r="N10" s="258" t="b">
        <v>0</v>
      </c>
      <c r="O10" s="258" t="b">
        <v>0</v>
      </c>
      <c r="P10" s="207"/>
      <c r="R10" s="258" t="b">
        <v>0</v>
      </c>
      <c r="S10" s="131">
        <v>19</v>
      </c>
      <c r="T10" s="258" t="b">
        <v>0</v>
      </c>
      <c r="U10" s="258" t="b">
        <v>0</v>
      </c>
      <c r="V10" s="258" t="b">
        <v>0</v>
      </c>
      <c r="W10" s="163"/>
      <c r="X10" s="258" t="b">
        <v>0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2:47" s="76" customFormat="1" x14ac:dyDescent="0.3">
      <c r="B11" s="73">
        <v>7</v>
      </c>
      <c r="C11" s="157" t="s">
        <v>244</v>
      </c>
      <c r="D11" s="131" t="s">
        <v>245</v>
      </c>
      <c r="E11" s="131" t="s">
        <v>230</v>
      </c>
      <c r="F11" s="131" t="s">
        <v>231</v>
      </c>
      <c r="G11" s="131"/>
      <c r="H11" s="131" t="s">
        <v>16</v>
      </c>
      <c r="I11" s="132" t="s">
        <v>233</v>
      </c>
      <c r="J11" s="258" t="b">
        <v>0</v>
      </c>
      <c r="K11" s="207"/>
      <c r="L11" s="258" t="b">
        <v>0</v>
      </c>
      <c r="M11" s="258" t="b">
        <v>0</v>
      </c>
      <c r="N11" s="258" t="b">
        <v>0</v>
      </c>
      <c r="O11" s="258" t="b">
        <v>0</v>
      </c>
      <c r="P11" s="207"/>
      <c r="R11" s="258" t="b">
        <v>0</v>
      </c>
      <c r="S11" s="131">
        <v>19</v>
      </c>
      <c r="T11" s="258" t="b">
        <v>0</v>
      </c>
      <c r="U11" s="258" t="b">
        <v>0</v>
      </c>
      <c r="V11" s="258" t="b">
        <v>0</v>
      </c>
      <c r="W11" s="163"/>
      <c r="X11" s="258" t="b">
        <v>0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2:47" s="136" customFormat="1" x14ac:dyDescent="0.3">
      <c r="B12" s="197">
        <v>8</v>
      </c>
      <c r="C12" s="134" t="s">
        <v>246</v>
      </c>
      <c r="D12" s="133" t="s">
        <v>247</v>
      </c>
      <c r="E12" s="133" t="s">
        <v>230</v>
      </c>
      <c r="F12" s="133" t="s">
        <v>231</v>
      </c>
      <c r="G12" s="133"/>
      <c r="H12" s="133" t="s">
        <v>16</v>
      </c>
      <c r="I12" s="135" t="s">
        <v>233</v>
      </c>
      <c r="J12" s="258" t="b">
        <v>0</v>
      </c>
      <c r="K12" s="207"/>
      <c r="L12" s="258" t="b">
        <v>0</v>
      </c>
      <c r="M12" s="258" t="b">
        <v>0</v>
      </c>
      <c r="N12" s="258" t="b">
        <v>0</v>
      </c>
      <c r="O12" s="258" t="b">
        <v>0</v>
      </c>
      <c r="P12" s="207"/>
      <c r="R12" s="258" t="b">
        <v>0</v>
      </c>
      <c r="S12" s="131">
        <v>15</v>
      </c>
      <c r="T12" s="258" t="b">
        <v>0</v>
      </c>
      <c r="U12" s="258" t="b">
        <v>0</v>
      </c>
      <c r="V12" s="258" t="b">
        <v>0</v>
      </c>
      <c r="W12" s="163"/>
      <c r="X12" s="258" t="b">
        <v>0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2:47" s="76" customFormat="1" x14ac:dyDescent="0.3">
      <c r="B13" s="73">
        <v>9</v>
      </c>
      <c r="C13" s="157" t="s">
        <v>248</v>
      </c>
      <c r="D13" s="131" t="s">
        <v>250</v>
      </c>
      <c r="E13" s="131" t="s">
        <v>249</v>
      </c>
      <c r="F13" s="131" t="s">
        <v>231</v>
      </c>
      <c r="G13" s="131"/>
      <c r="H13" s="131" t="s">
        <v>251</v>
      </c>
      <c r="I13" s="132" t="s">
        <v>16</v>
      </c>
      <c r="J13" s="258" t="b">
        <v>0</v>
      </c>
      <c r="K13" s="207"/>
      <c r="L13" s="258" t="b">
        <v>0</v>
      </c>
      <c r="M13" s="258" t="b">
        <v>0</v>
      </c>
      <c r="N13" s="258" t="b">
        <v>0</v>
      </c>
      <c r="O13" s="258" t="b">
        <v>0</v>
      </c>
      <c r="P13" s="207"/>
      <c r="R13" s="258" t="b">
        <v>0</v>
      </c>
      <c r="S13" s="200" t="s">
        <v>536</v>
      </c>
      <c r="T13" s="258" t="b">
        <v>0</v>
      </c>
      <c r="U13" s="258" t="b">
        <v>0</v>
      </c>
      <c r="V13" s="258" t="b">
        <v>0</v>
      </c>
      <c r="W13" s="205" t="s">
        <v>536</v>
      </c>
      <c r="X13" s="258" t="b">
        <v>0</v>
      </c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2:47" s="76" customFormat="1" x14ac:dyDescent="0.3">
      <c r="B14" s="73">
        <v>10</v>
      </c>
      <c r="C14" s="198" t="s">
        <v>252</v>
      </c>
      <c r="D14" s="131" t="s">
        <v>253</v>
      </c>
      <c r="E14" s="131" t="s">
        <v>249</v>
      </c>
      <c r="F14" s="131" t="s">
        <v>231</v>
      </c>
      <c r="G14" s="131"/>
      <c r="H14" s="131" t="s">
        <v>16</v>
      </c>
      <c r="I14" s="132" t="s">
        <v>16</v>
      </c>
      <c r="J14" s="258" t="b">
        <v>0</v>
      </c>
      <c r="K14" s="207"/>
      <c r="L14" s="258" t="b">
        <v>0</v>
      </c>
      <c r="M14" s="258" t="b">
        <v>0</v>
      </c>
      <c r="N14" s="258" t="b">
        <v>0</v>
      </c>
      <c r="O14" s="258" t="b">
        <v>0</v>
      </c>
      <c r="P14" s="207"/>
      <c r="R14" s="258" t="b">
        <v>0</v>
      </c>
      <c r="S14" s="200" t="s">
        <v>536</v>
      </c>
      <c r="T14" s="258" t="b">
        <v>0</v>
      </c>
      <c r="U14" s="258" t="b">
        <v>0</v>
      </c>
      <c r="V14" s="258" t="b">
        <v>0</v>
      </c>
      <c r="W14" s="205" t="s">
        <v>536</v>
      </c>
      <c r="X14" s="258" t="b">
        <v>0</v>
      </c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2:47" s="76" customFormat="1" x14ac:dyDescent="0.3">
      <c r="B15" s="197">
        <v>11</v>
      </c>
      <c r="C15" s="157" t="s">
        <v>254</v>
      </c>
      <c r="D15" s="131" t="s">
        <v>255</v>
      </c>
      <c r="E15" s="131" t="s">
        <v>249</v>
      </c>
      <c r="F15" s="131" t="s">
        <v>231</v>
      </c>
      <c r="G15" s="131"/>
      <c r="H15" s="131" t="s">
        <v>251</v>
      </c>
      <c r="I15" s="132" t="s">
        <v>233</v>
      </c>
      <c r="J15" s="258" t="b">
        <v>0</v>
      </c>
      <c r="K15" s="207"/>
      <c r="L15" s="258" t="b">
        <v>0</v>
      </c>
      <c r="M15" s="258" t="b">
        <v>0</v>
      </c>
      <c r="N15" s="258" t="b">
        <v>0</v>
      </c>
      <c r="O15" s="258" t="b">
        <v>0</v>
      </c>
      <c r="P15" s="207"/>
      <c r="R15" s="258" t="b">
        <v>0</v>
      </c>
      <c r="S15" s="131">
        <v>27</v>
      </c>
      <c r="T15" s="258" t="b">
        <v>0</v>
      </c>
      <c r="U15" s="258" t="b">
        <v>0</v>
      </c>
      <c r="V15" s="258" t="b">
        <v>0</v>
      </c>
      <c r="W15" s="163"/>
      <c r="X15" s="258" t="b">
        <v>0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2:47" s="76" customFormat="1" x14ac:dyDescent="0.3">
      <c r="B16" s="73">
        <v>12</v>
      </c>
      <c r="C16" s="157" t="s">
        <v>256</v>
      </c>
      <c r="D16" s="131" t="s">
        <v>257</v>
      </c>
      <c r="E16" s="131" t="s">
        <v>249</v>
      </c>
      <c r="F16" s="131" t="s">
        <v>231</v>
      </c>
      <c r="G16" s="131"/>
      <c r="H16" s="131" t="s">
        <v>251</v>
      </c>
      <c r="I16" s="132" t="s">
        <v>233</v>
      </c>
      <c r="J16" s="258" t="b">
        <v>0</v>
      </c>
      <c r="K16" s="207"/>
      <c r="L16" s="258" t="b">
        <v>0</v>
      </c>
      <c r="M16" s="258" t="b">
        <v>0</v>
      </c>
      <c r="N16" s="258" t="b">
        <v>0</v>
      </c>
      <c r="O16" s="258" t="b">
        <v>0</v>
      </c>
      <c r="P16" s="207"/>
      <c r="R16" s="258" t="b">
        <v>0</v>
      </c>
      <c r="S16" s="131">
        <v>27</v>
      </c>
      <c r="T16" s="258" t="b">
        <v>0</v>
      </c>
      <c r="U16" s="258" t="b">
        <v>0</v>
      </c>
      <c r="V16" s="258" t="b">
        <v>0</v>
      </c>
      <c r="W16" s="163"/>
      <c r="X16" s="258" t="b">
        <v>0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2:47" s="76" customFormat="1" x14ac:dyDescent="0.3">
      <c r="B17" s="73">
        <v>13</v>
      </c>
      <c r="C17" s="163" t="s">
        <v>258</v>
      </c>
      <c r="D17" s="131" t="s">
        <v>259</v>
      </c>
      <c r="E17" s="131" t="s">
        <v>249</v>
      </c>
      <c r="F17" s="131" t="s">
        <v>231</v>
      </c>
      <c r="G17" s="131"/>
      <c r="H17" s="131" t="s">
        <v>251</v>
      </c>
      <c r="I17" s="132" t="s">
        <v>233</v>
      </c>
      <c r="J17" s="258" t="b">
        <v>0</v>
      </c>
      <c r="K17" s="207"/>
      <c r="L17" s="258" t="b">
        <v>0</v>
      </c>
      <c r="M17" s="258" t="b">
        <v>0</v>
      </c>
      <c r="N17" s="258" t="b">
        <v>0</v>
      </c>
      <c r="O17" s="258" t="b">
        <v>0</v>
      </c>
      <c r="P17" s="207"/>
      <c r="R17" s="258" t="b">
        <v>0</v>
      </c>
      <c r="S17" s="131">
        <v>27</v>
      </c>
      <c r="T17" s="258" t="b">
        <v>0</v>
      </c>
      <c r="U17" s="258" t="b">
        <v>0</v>
      </c>
      <c r="V17" s="258" t="b">
        <v>0</v>
      </c>
      <c r="W17" s="163"/>
      <c r="X17" s="258" t="b">
        <v>0</v>
      </c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2:47" s="76" customFormat="1" x14ac:dyDescent="0.3">
      <c r="B18" s="197">
        <v>14</v>
      </c>
      <c r="C18" s="211" t="s">
        <v>260</v>
      </c>
      <c r="D18" s="131" t="s">
        <v>261</v>
      </c>
      <c r="E18" s="137" t="s">
        <v>249</v>
      </c>
      <c r="F18" s="131" t="s">
        <v>231</v>
      </c>
      <c r="G18" s="131"/>
      <c r="H18" s="131" t="s">
        <v>16</v>
      </c>
      <c r="I18" s="132" t="s">
        <v>233</v>
      </c>
      <c r="J18" s="258" t="b">
        <v>0</v>
      </c>
      <c r="K18" s="207"/>
      <c r="L18" s="258" t="b">
        <v>0</v>
      </c>
      <c r="M18" s="258" t="b">
        <v>0</v>
      </c>
      <c r="N18" s="258" t="b">
        <v>0</v>
      </c>
      <c r="O18" s="258" t="b">
        <v>0</v>
      </c>
      <c r="P18" s="207"/>
      <c r="R18" s="258" t="b">
        <v>0</v>
      </c>
      <c r="S18" s="131">
        <v>32</v>
      </c>
      <c r="T18" s="258" t="b">
        <v>0</v>
      </c>
      <c r="U18" s="258" t="b">
        <v>0</v>
      </c>
      <c r="V18" s="258" t="b">
        <v>0</v>
      </c>
      <c r="W18" s="163"/>
      <c r="X18" s="258" t="b">
        <v>0</v>
      </c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2:47" s="76" customFormat="1" ht="11.4" customHeight="1" x14ac:dyDescent="0.3">
      <c r="B19" s="73">
        <v>15</v>
      </c>
      <c r="C19" s="157" t="s">
        <v>262</v>
      </c>
      <c r="D19" s="131" t="s">
        <v>263</v>
      </c>
      <c r="E19" s="131" t="s">
        <v>249</v>
      </c>
      <c r="F19" s="131" t="s">
        <v>231</v>
      </c>
      <c r="G19" s="131"/>
      <c r="H19" s="131" t="s">
        <v>251</v>
      </c>
      <c r="I19" s="132" t="s">
        <v>233</v>
      </c>
      <c r="J19" s="258" t="b">
        <v>0</v>
      </c>
      <c r="K19" s="207"/>
      <c r="L19" s="258" t="b">
        <v>0</v>
      </c>
      <c r="M19" s="258" t="b">
        <v>0</v>
      </c>
      <c r="N19" s="258" t="b">
        <v>0</v>
      </c>
      <c r="O19" s="258" t="b">
        <v>0</v>
      </c>
      <c r="P19" s="207"/>
      <c r="R19" s="258" t="b">
        <v>0</v>
      </c>
      <c r="S19" s="131">
        <v>17</v>
      </c>
      <c r="T19" s="258" t="b">
        <v>0</v>
      </c>
      <c r="U19" s="258" t="b">
        <v>0</v>
      </c>
      <c r="V19" s="258" t="b">
        <v>0</v>
      </c>
      <c r="W19" s="163"/>
      <c r="X19" s="258" t="b">
        <v>0</v>
      </c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2:47" s="76" customFormat="1" x14ac:dyDescent="0.3">
      <c r="B20" s="73">
        <v>16</v>
      </c>
      <c r="C20" s="157" t="s">
        <v>264</v>
      </c>
      <c r="D20" s="131" t="s">
        <v>265</v>
      </c>
      <c r="E20" s="131" t="s">
        <v>249</v>
      </c>
      <c r="F20" s="131" t="s">
        <v>231</v>
      </c>
      <c r="G20" s="131"/>
      <c r="H20" s="131" t="s">
        <v>251</v>
      </c>
      <c r="I20" s="132" t="s">
        <v>233</v>
      </c>
      <c r="J20" s="258" t="b">
        <v>0</v>
      </c>
      <c r="K20" s="207"/>
      <c r="L20" s="258" t="b">
        <v>0</v>
      </c>
      <c r="M20" s="258" t="b">
        <v>0</v>
      </c>
      <c r="N20" s="258" t="b">
        <v>0</v>
      </c>
      <c r="O20" s="258" t="b">
        <v>0</v>
      </c>
      <c r="P20" s="207"/>
      <c r="R20" s="258" t="b">
        <v>0</v>
      </c>
      <c r="S20" s="131">
        <v>16</v>
      </c>
      <c r="T20" s="258" t="b">
        <v>0</v>
      </c>
      <c r="U20" s="258" t="b">
        <v>0</v>
      </c>
      <c r="V20" s="258" t="b">
        <v>0</v>
      </c>
      <c r="W20" s="163"/>
      <c r="X20" s="258" t="b">
        <v>0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2:47" s="76" customFormat="1" x14ac:dyDescent="0.3">
      <c r="B21" s="197">
        <v>17</v>
      </c>
      <c r="C21" s="157" t="s">
        <v>266</v>
      </c>
      <c r="D21" s="131" t="s">
        <v>267</v>
      </c>
      <c r="E21" s="131" t="s">
        <v>249</v>
      </c>
      <c r="F21" s="131" t="s">
        <v>231</v>
      </c>
      <c r="G21" s="131"/>
      <c r="H21" s="131" t="s">
        <v>251</v>
      </c>
      <c r="I21" s="132" t="s">
        <v>233</v>
      </c>
      <c r="J21" s="258" t="b">
        <v>0</v>
      </c>
      <c r="K21" s="207"/>
      <c r="L21" s="258" t="b">
        <v>0</v>
      </c>
      <c r="M21" s="258" t="b">
        <v>0</v>
      </c>
      <c r="N21" s="258" t="b">
        <v>0</v>
      </c>
      <c r="O21" s="258" t="b">
        <v>0</v>
      </c>
      <c r="P21" s="207"/>
      <c r="R21" s="258" t="b">
        <v>0</v>
      </c>
      <c r="S21" s="131">
        <v>16</v>
      </c>
      <c r="T21" s="258" t="b">
        <v>0</v>
      </c>
      <c r="U21" s="258" t="b">
        <v>0</v>
      </c>
      <c r="V21" s="258" t="b">
        <v>0</v>
      </c>
      <c r="W21" s="163"/>
      <c r="X21" s="258" t="b">
        <v>0</v>
      </c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2:47" s="76" customFormat="1" x14ac:dyDescent="0.3">
      <c r="B22" s="73">
        <v>18</v>
      </c>
      <c r="C22" s="157" t="s">
        <v>268</v>
      </c>
      <c r="D22" s="131" t="s">
        <v>269</v>
      </c>
      <c r="E22" s="131" t="s">
        <v>249</v>
      </c>
      <c r="F22" s="131" t="s">
        <v>231</v>
      </c>
      <c r="G22" s="131"/>
      <c r="H22" s="131" t="s">
        <v>251</v>
      </c>
      <c r="I22" s="132" t="s">
        <v>16</v>
      </c>
      <c r="J22" s="258" t="b">
        <v>0</v>
      </c>
      <c r="K22" s="207"/>
      <c r="L22" s="258" t="b">
        <v>0</v>
      </c>
      <c r="M22" s="258" t="b">
        <v>0</v>
      </c>
      <c r="N22" s="258" t="b">
        <v>0</v>
      </c>
      <c r="O22" s="258" t="b">
        <v>0</v>
      </c>
      <c r="P22" s="207"/>
      <c r="R22" s="258" t="b">
        <v>0</v>
      </c>
      <c r="S22" s="200" t="s">
        <v>536</v>
      </c>
      <c r="T22" s="258" t="b">
        <v>0</v>
      </c>
      <c r="U22" s="258" t="b">
        <v>0</v>
      </c>
      <c r="V22" s="258" t="b">
        <v>0</v>
      </c>
      <c r="W22" s="205" t="s">
        <v>536</v>
      </c>
      <c r="X22" s="258" t="b">
        <v>0</v>
      </c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2:47" s="76" customFormat="1" x14ac:dyDescent="0.3">
      <c r="B23" s="73">
        <v>19</v>
      </c>
      <c r="C23" s="157" t="s">
        <v>270</v>
      </c>
      <c r="D23" s="131" t="s">
        <v>271</v>
      </c>
      <c r="E23" s="131" t="s">
        <v>249</v>
      </c>
      <c r="F23" s="131" t="s">
        <v>231</v>
      </c>
      <c r="G23" s="131"/>
      <c r="H23" s="131" t="s">
        <v>251</v>
      </c>
      <c r="I23" s="132" t="s">
        <v>16</v>
      </c>
      <c r="J23" s="258" t="b">
        <v>0</v>
      </c>
      <c r="K23" s="207"/>
      <c r="L23" s="258" t="b">
        <v>0</v>
      </c>
      <c r="M23" s="258" t="b">
        <v>0</v>
      </c>
      <c r="N23" s="258" t="b">
        <v>0</v>
      </c>
      <c r="O23" s="258" t="b">
        <v>0</v>
      </c>
      <c r="P23" s="207"/>
      <c r="R23" s="258" t="b">
        <v>0</v>
      </c>
      <c r="S23" s="200" t="s">
        <v>536</v>
      </c>
      <c r="T23" s="258" t="b">
        <v>0</v>
      </c>
      <c r="U23" s="258" t="b">
        <v>0</v>
      </c>
      <c r="V23" s="258" t="b">
        <v>0</v>
      </c>
      <c r="W23" s="205" t="s">
        <v>536</v>
      </c>
      <c r="X23" s="258" t="b">
        <v>0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pans="2:47" s="76" customFormat="1" x14ac:dyDescent="0.3">
      <c r="B24" s="197">
        <v>20</v>
      </c>
      <c r="C24" s="157" t="s">
        <v>272</v>
      </c>
      <c r="D24" s="131" t="s">
        <v>273</v>
      </c>
      <c r="E24" s="131" t="s">
        <v>249</v>
      </c>
      <c r="F24" s="131" t="s">
        <v>231</v>
      </c>
      <c r="G24" s="131"/>
      <c r="H24" s="131" t="s">
        <v>251</v>
      </c>
      <c r="I24" s="132" t="s">
        <v>233</v>
      </c>
      <c r="J24" s="258" t="b">
        <v>0</v>
      </c>
      <c r="K24" s="207"/>
      <c r="L24" s="258" t="b">
        <v>0</v>
      </c>
      <c r="M24" s="258" t="b">
        <v>0</v>
      </c>
      <c r="N24" s="258" t="b">
        <v>0</v>
      </c>
      <c r="O24" s="258" t="b">
        <v>0</v>
      </c>
      <c r="P24" s="207"/>
      <c r="R24" s="258" t="b">
        <v>0</v>
      </c>
      <c r="S24" s="131">
        <v>16</v>
      </c>
      <c r="T24" s="258" t="b">
        <v>0</v>
      </c>
      <c r="U24" s="258" t="b">
        <v>0</v>
      </c>
      <c r="V24" s="258" t="b">
        <v>0</v>
      </c>
      <c r="W24" s="163"/>
      <c r="X24" s="258" t="b">
        <v>0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2:47" s="76" customFormat="1" x14ac:dyDescent="0.3">
      <c r="B25" s="73">
        <v>21</v>
      </c>
      <c r="C25" s="157" t="s">
        <v>274</v>
      </c>
      <c r="D25" s="131" t="s">
        <v>275</v>
      </c>
      <c r="E25" s="131" t="s">
        <v>249</v>
      </c>
      <c r="F25" s="131" t="s">
        <v>231</v>
      </c>
      <c r="G25" s="131"/>
      <c r="H25" s="131" t="s">
        <v>251</v>
      </c>
      <c r="I25" s="132" t="s">
        <v>233</v>
      </c>
      <c r="J25" s="258" t="b">
        <v>0</v>
      </c>
      <c r="K25" s="207"/>
      <c r="L25" s="258" t="b">
        <v>0</v>
      </c>
      <c r="M25" s="258" t="b">
        <v>0</v>
      </c>
      <c r="N25" s="258" t="b">
        <v>0</v>
      </c>
      <c r="O25" s="258" t="b">
        <v>0</v>
      </c>
      <c r="P25" s="207"/>
      <c r="R25" s="258" t="b">
        <v>0</v>
      </c>
      <c r="S25" s="131">
        <v>16</v>
      </c>
      <c r="T25" s="258" t="b">
        <v>0</v>
      </c>
      <c r="U25" s="258" t="b">
        <v>0</v>
      </c>
      <c r="V25" s="258" t="b">
        <v>0</v>
      </c>
      <c r="W25" s="163"/>
      <c r="X25" s="258" t="b">
        <v>0</v>
      </c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2:47" s="76" customFormat="1" x14ac:dyDescent="0.3">
      <c r="B26" s="212">
        <v>22</v>
      </c>
      <c r="C26" s="198" t="s">
        <v>276</v>
      </c>
      <c r="D26" s="131" t="s">
        <v>277</v>
      </c>
      <c r="E26" s="131" t="s">
        <v>249</v>
      </c>
      <c r="F26" s="131" t="s">
        <v>231</v>
      </c>
      <c r="G26" s="131"/>
      <c r="H26" s="131" t="s">
        <v>251</v>
      </c>
      <c r="I26" s="132" t="s">
        <v>16</v>
      </c>
      <c r="J26" s="258" t="b">
        <v>0</v>
      </c>
      <c r="K26" s="207"/>
      <c r="L26" s="258" t="b">
        <v>0</v>
      </c>
      <c r="M26" s="258" t="b">
        <v>0</v>
      </c>
      <c r="N26" s="258" t="b">
        <v>0</v>
      </c>
      <c r="O26" s="258" t="b">
        <v>0</v>
      </c>
      <c r="P26" s="207"/>
      <c r="R26" s="258" t="b">
        <v>0</v>
      </c>
      <c r="S26" s="200" t="s">
        <v>536</v>
      </c>
      <c r="T26" s="258" t="b">
        <v>0</v>
      </c>
      <c r="U26" s="258" t="b">
        <v>0</v>
      </c>
      <c r="V26" s="258" t="b">
        <v>0</v>
      </c>
      <c r="W26" s="205" t="s">
        <v>536</v>
      </c>
      <c r="X26" s="258" t="b">
        <v>0</v>
      </c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pans="2:47" s="76" customFormat="1" x14ac:dyDescent="0.3">
      <c r="B27" s="197">
        <v>23</v>
      </c>
      <c r="C27" s="130" t="s">
        <v>278</v>
      </c>
      <c r="D27" s="131" t="s">
        <v>279</v>
      </c>
      <c r="E27" s="131" t="s">
        <v>249</v>
      </c>
      <c r="F27" s="131" t="s">
        <v>231</v>
      </c>
      <c r="G27" s="131"/>
      <c r="H27" s="131" t="s">
        <v>251</v>
      </c>
      <c r="I27" s="132" t="s">
        <v>16</v>
      </c>
      <c r="J27" s="258" t="b">
        <v>0</v>
      </c>
      <c r="K27" s="207"/>
      <c r="L27" s="258" t="b">
        <v>0</v>
      </c>
      <c r="M27" s="258" t="b">
        <v>0</v>
      </c>
      <c r="N27" s="258" t="b">
        <v>0</v>
      </c>
      <c r="O27" s="258" t="b">
        <v>0</v>
      </c>
      <c r="P27" s="207"/>
      <c r="R27" s="258" t="b">
        <v>0</v>
      </c>
      <c r="S27" s="200" t="s">
        <v>536</v>
      </c>
      <c r="T27" s="258" t="b">
        <v>0</v>
      </c>
      <c r="U27" s="258" t="b">
        <v>0</v>
      </c>
      <c r="V27" s="258" t="b">
        <v>0</v>
      </c>
      <c r="W27" s="205" t="s">
        <v>536</v>
      </c>
      <c r="X27" s="258" t="b">
        <v>0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</row>
    <row r="28" spans="2:47" s="76" customFormat="1" x14ac:dyDescent="0.3">
      <c r="B28" s="73">
        <v>24</v>
      </c>
      <c r="C28" s="130" t="s">
        <v>280</v>
      </c>
      <c r="D28" s="131" t="s">
        <v>281</v>
      </c>
      <c r="E28" s="131" t="s">
        <v>249</v>
      </c>
      <c r="F28" s="131" t="s">
        <v>231</v>
      </c>
      <c r="G28" s="131"/>
      <c r="H28" s="131" t="s">
        <v>251</v>
      </c>
      <c r="I28" s="132" t="s">
        <v>233</v>
      </c>
      <c r="J28" s="258" t="b">
        <v>0</v>
      </c>
      <c r="K28" s="207"/>
      <c r="L28" s="258" t="b">
        <v>0</v>
      </c>
      <c r="M28" s="258" t="b">
        <v>0</v>
      </c>
      <c r="N28" s="258" t="b">
        <v>0</v>
      </c>
      <c r="O28" s="258" t="b">
        <v>0</v>
      </c>
      <c r="P28" s="207"/>
      <c r="R28" s="258" t="b">
        <v>0</v>
      </c>
      <c r="S28" s="131">
        <v>28</v>
      </c>
      <c r="T28" s="258" t="b">
        <v>0</v>
      </c>
      <c r="U28" s="258" t="b">
        <v>0</v>
      </c>
      <c r="V28" s="258" t="b">
        <v>0</v>
      </c>
      <c r="W28" s="163"/>
      <c r="X28" s="258" t="b">
        <v>0</v>
      </c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</row>
    <row r="29" spans="2:47" s="76" customFormat="1" x14ac:dyDescent="0.3">
      <c r="B29" s="73">
        <v>25</v>
      </c>
      <c r="C29" s="130" t="s">
        <v>282</v>
      </c>
      <c r="D29" s="131" t="s">
        <v>283</v>
      </c>
      <c r="E29" s="131" t="s">
        <v>249</v>
      </c>
      <c r="F29" s="131" t="s">
        <v>231</v>
      </c>
      <c r="G29" s="131"/>
      <c r="H29" s="131" t="s">
        <v>251</v>
      </c>
      <c r="I29" s="132" t="s">
        <v>233</v>
      </c>
      <c r="J29" s="258" t="b">
        <v>0</v>
      </c>
      <c r="K29" s="207"/>
      <c r="L29" s="258" t="b">
        <v>0</v>
      </c>
      <c r="M29" s="258" t="b">
        <v>0</v>
      </c>
      <c r="N29" s="258" t="b">
        <v>0</v>
      </c>
      <c r="O29" s="258" t="b">
        <v>0</v>
      </c>
      <c r="P29" s="207"/>
      <c r="R29" s="258" t="b">
        <v>0</v>
      </c>
      <c r="S29" s="131">
        <v>28</v>
      </c>
      <c r="T29" s="258" t="b">
        <v>0</v>
      </c>
      <c r="U29" s="258" t="b">
        <v>0</v>
      </c>
      <c r="V29" s="258" t="b">
        <v>0</v>
      </c>
      <c r="W29" s="163"/>
      <c r="X29" s="258" t="b">
        <v>0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2:47" s="76" customFormat="1" x14ac:dyDescent="0.3">
      <c r="B30" s="197">
        <v>26</v>
      </c>
      <c r="C30" s="130" t="s">
        <v>284</v>
      </c>
      <c r="D30" s="131" t="s">
        <v>285</v>
      </c>
      <c r="E30" s="131" t="s">
        <v>249</v>
      </c>
      <c r="F30" s="131" t="s">
        <v>231</v>
      </c>
      <c r="G30" s="131"/>
      <c r="H30" s="131" t="s">
        <v>286</v>
      </c>
      <c r="I30" s="132" t="s">
        <v>233</v>
      </c>
      <c r="J30" s="258" t="b">
        <v>0</v>
      </c>
      <c r="K30" s="207"/>
      <c r="L30" s="258" t="b">
        <v>0</v>
      </c>
      <c r="M30" s="258" t="b">
        <v>0</v>
      </c>
      <c r="N30" s="258" t="b">
        <v>0</v>
      </c>
      <c r="O30" s="258" t="b">
        <v>0</v>
      </c>
      <c r="P30" s="207"/>
      <c r="R30" s="258" t="b">
        <v>0</v>
      </c>
      <c r="S30" s="131">
        <v>20</v>
      </c>
      <c r="T30" s="258" t="b">
        <v>0</v>
      </c>
      <c r="U30" s="258" t="b">
        <v>0</v>
      </c>
      <c r="V30" s="258" t="b">
        <v>0</v>
      </c>
      <c r="W30" s="163"/>
      <c r="X30" s="258" t="b">
        <v>0</v>
      </c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2:47" s="76" customFormat="1" x14ac:dyDescent="0.3">
      <c r="B31" s="73">
        <v>27</v>
      </c>
      <c r="C31" s="130" t="s">
        <v>287</v>
      </c>
      <c r="D31" s="131" t="s">
        <v>288</v>
      </c>
      <c r="E31" s="131" t="s">
        <v>249</v>
      </c>
      <c r="F31" s="131" t="s">
        <v>231</v>
      </c>
      <c r="G31" s="131"/>
      <c r="H31" s="131" t="s">
        <v>286</v>
      </c>
      <c r="I31" s="132" t="s">
        <v>16</v>
      </c>
      <c r="J31" s="258" t="b">
        <v>0</v>
      </c>
      <c r="K31" s="207"/>
      <c r="L31" s="258" t="b">
        <v>0</v>
      </c>
      <c r="M31" s="258" t="b">
        <v>0</v>
      </c>
      <c r="N31" s="258" t="b">
        <v>0</v>
      </c>
      <c r="O31" s="258" t="b">
        <v>0</v>
      </c>
      <c r="P31" s="207"/>
      <c r="R31" s="258" t="b">
        <v>0</v>
      </c>
      <c r="S31" s="200" t="s">
        <v>536</v>
      </c>
      <c r="T31" s="258" t="b">
        <v>0</v>
      </c>
      <c r="U31" s="258" t="b">
        <v>0</v>
      </c>
      <c r="V31" s="258" t="b">
        <v>0</v>
      </c>
      <c r="W31" s="205" t="s">
        <v>536</v>
      </c>
      <c r="X31" s="258" t="b">
        <v>0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2:47" s="76" customFormat="1" x14ac:dyDescent="0.3">
      <c r="B32" s="73">
        <v>28</v>
      </c>
      <c r="C32" s="157" t="s">
        <v>289</v>
      </c>
      <c r="D32" s="131" t="s">
        <v>290</v>
      </c>
      <c r="E32" s="131" t="s">
        <v>249</v>
      </c>
      <c r="F32" s="131" t="s">
        <v>231</v>
      </c>
      <c r="G32" s="131"/>
      <c r="H32" s="131" t="s">
        <v>251</v>
      </c>
      <c r="I32" s="132" t="s">
        <v>233</v>
      </c>
      <c r="J32" s="258" t="b">
        <v>0</v>
      </c>
      <c r="K32" s="207"/>
      <c r="L32" s="258" t="b">
        <v>0</v>
      </c>
      <c r="M32" s="258" t="b">
        <v>0</v>
      </c>
      <c r="N32" s="258" t="b">
        <v>0</v>
      </c>
      <c r="O32" s="258" t="b">
        <v>0</v>
      </c>
      <c r="P32" s="207"/>
      <c r="R32" s="258" t="b">
        <v>0</v>
      </c>
      <c r="S32" s="131">
        <v>20</v>
      </c>
      <c r="T32" s="258" t="b">
        <v>0</v>
      </c>
      <c r="U32" s="258" t="b">
        <v>0</v>
      </c>
      <c r="V32" s="258" t="b">
        <v>0</v>
      </c>
      <c r="W32" s="163"/>
      <c r="X32" s="258" t="b">
        <v>0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s="76" customFormat="1" x14ac:dyDescent="0.3">
      <c r="B33" s="197">
        <v>29</v>
      </c>
      <c r="C33" s="130" t="s">
        <v>291</v>
      </c>
      <c r="D33" s="131" t="s">
        <v>292</v>
      </c>
      <c r="E33" s="131" t="s">
        <v>249</v>
      </c>
      <c r="F33" s="131" t="s">
        <v>231</v>
      </c>
      <c r="G33" s="131"/>
      <c r="H33" s="131" t="s">
        <v>251</v>
      </c>
      <c r="I33" s="132" t="s">
        <v>233</v>
      </c>
      <c r="J33" s="258" t="b">
        <v>0</v>
      </c>
      <c r="K33" s="207"/>
      <c r="L33" s="258" t="b">
        <v>0</v>
      </c>
      <c r="M33" s="258" t="b">
        <v>0</v>
      </c>
      <c r="N33" s="258" t="b">
        <v>0</v>
      </c>
      <c r="O33" s="258" t="b">
        <v>0</v>
      </c>
      <c r="P33" s="207"/>
      <c r="R33" s="258" t="b">
        <v>0</v>
      </c>
      <c r="S33" s="131">
        <v>17</v>
      </c>
      <c r="T33" s="258" t="b">
        <v>0</v>
      </c>
      <c r="U33" s="258" t="b">
        <v>0</v>
      </c>
      <c r="V33" s="258" t="b">
        <v>0</v>
      </c>
      <c r="W33" s="163"/>
      <c r="X33" s="258" t="b">
        <v>0</v>
      </c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s="76" customFormat="1" x14ac:dyDescent="0.3">
      <c r="B34" s="212">
        <v>30</v>
      </c>
      <c r="C34" s="157" t="s">
        <v>293</v>
      </c>
      <c r="D34" s="131" t="s">
        <v>294</v>
      </c>
      <c r="E34" s="131" t="s">
        <v>249</v>
      </c>
      <c r="F34" s="131" t="s">
        <v>231</v>
      </c>
      <c r="G34" s="131"/>
      <c r="H34" s="131" t="s">
        <v>251</v>
      </c>
      <c r="I34" s="132" t="s">
        <v>16</v>
      </c>
      <c r="J34" s="258" t="b">
        <v>0</v>
      </c>
      <c r="K34" s="207"/>
      <c r="L34" s="258" t="b">
        <v>0</v>
      </c>
      <c r="M34" s="258" t="b">
        <v>0</v>
      </c>
      <c r="N34" s="258" t="b">
        <v>0</v>
      </c>
      <c r="O34" s="258" t="b">
        <v>0</v>
      </c>
      <c r="P34" s="207"/>
      <c r="R34" s="258" t="b">
        <v>0</v>
      </c>
      <c r="S34" s="131">
        <v>32</v>
      </c>
      <c r="T34" s="258" t="b">
        <v>0</v>
      </c>
      <c r="U34" s="258" t="b">
        <v>0</v>
      </c>
      <c r="V34" s="258" t="b">
        <v>0</v>
      </c>
      <c r="W34" s="163"/>
      <c r="X34" s="258" t="b">
        <v>0</v>
      </c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</row>
    <row r="35" spans="1:47" s="76" customFormat="1" x14ac:dyDescent="0.3">
      <c r="B35" s="212">
        <v>31</v>
      </c>
      <c r="C35" s="157" t="s">
        <v>295</v>
      </c>
      <c r="D35" s="131" t="s">
        <v>296</v>
      </c>
      <c r="E35" s="131" t="s">
        <v>249</v>
      </c>
      <c r="F35" s="131" t="s">
        <v>231</v>
      </c>
      <c r="G35" s="131"/>
      <c r="H35" s="131" t="s">
        <v>251</v>
      </c>
      <c r="I35" s="132" t="s">
        <v>16</v>
      </c>
      <c r="J35" s="258" t="b">
        <v>0</v>
      </c>
      <c r="K35" s="207"/>
      <c r="L35" s="258" t="b">
        <v>0</v>
      </c>
      <c r="M35" s="258" t="b">
        <v>0</v>
      </c>
      <c r="N35" s="258" t="b">
        <v>0</v>
      </c>
      <c r="O35" s="258" t="b">
        <v>0</v>
      </c>
      <c r="P35" s="207"/>
      <c r="R35" s="258" t="b">
        <v>0</v>
      </c>
      <c r="S35" s="131">
        <v>32</v>
      </c>
      <c r="T35" s="258" t="b">
        <v>0</v>
      </c>
      <c r="U35" s="258" t="b">
        <v>0</v>
      </c>
      <c r="V35" s="258" t="b">
        <v>0</v>
      </c>
      <c r="W35" s="163"/>
      <c r="X35" s="258" t="b">
        <v>0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</row>
    <row r="36" spans="1:47" s="76" customFormat="1" x14ac:dyDescent="0.3">
      <c r="B36" s="213">
        <v>32</v>
      </c>
      <c r="C36" s="157" t="s">
        <v>297</v>
      </c>
      <c r="D36" s="131" t="s">
        <v>298</v>
      </c>
      <c r="E36" s="131" t="s">
        <v>249</v>
      </c>
      <c r="F36" s="131" t="s">
        <v>231</v>
      </c>
      <c r="G36" s="131"/>
      <c r="H36" s="131" t="s">
        <v>251</v>
      </c>
      <c r="I36" s="132" t="s">
        <v>233</v>
      </c>
      <c r="J36" s="258" t="b">
        <v>0</v>
      </c>
      <c r="K36" s="207"/>
      <c r="L36" s="258" t="b">
        <v>0</v>
      </c>
      <c r="M36" s="258" t="b">
        <v>0</v>
      </c>
      <c r="N36" s="258" t="b">
        <v>0</v>
      </c>
      <c r="O36" s="258" t="b">
        <v>0</v>
      </c>
      <c r="P36" s="207"/>
      <c r="R36" s="258" t="b">
        <v>0</v>
      </c>
      <c r="S36" s="131">
        <v>35</v>
      </c>
      <c r="T36" s="258" t="b">
        <v>0</v>
      </c>
      <c r="U36" s="258" t="b">
        <v>0</v>
      </c>
      <c r="V36" s="258" t="b">
        <v>0</v>
      </c>
      <c r="W36" s="163"/>
      <c r="X36" s="258" t="b">
        <v>0</v>
      </c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</row>
    <row r="37" spans="1:47" s="76" customFormat="1" x14ac:dyDescent="0.3">
      <c r="B37" s="73">
        <v>33</v>
      </c>
      <c r="C37" s="241" t="s">
        <v>299</v>
      </c>
      <c r="D37" s="131" t="s">
        <v>300</v>
      </c>
      <c r="E37" s="131" t="s">
        <v>249</v>
      </c>
      <c r="F37" s="131" t="s">
        <v>231</v>
      </c>
      <c r="G37" s="131"/>
      <c r="H37" s="131" t="s">
        <v>251</v>
      </c>
      <c r="I37" s="132" t="s">
        <v>16</v>
      </c>
      <c r="J37" s="258" t="b">
        <v>0</v>
      </c>
      <c r="K37" s="207"/>
      <c r="L37" s="258" t="b">
        <v>0</v>
      </c>
      <c r="M37" s="258" t="b">
        <v>0</v>
      </c>
      <c r="N37" s="258" t="b">
        <v>0</v>
      </c>
      <c r="O37" s="258" t="b">
        <v>0</v>
      </c>
      <c r="P37" s="207"/>
      <c r="R37" s="258" t="b">
        <v>0</v>
      </c>
      <c r="S37" s="200" t="s">
        <v>536</v>
      </c>
      <c r="T37" s="258" t="b">
        <v>0</v>
      </c>
      <c r="U37" s="258" t="b">
        <v>0</v>
      </c>
      <c r="V37" s="258" t="b">
        <v>0</v>
      </c>
      <c r="W37" s="205" t="s">
        <v>536</v>
      </c>
      <c r="X37" s="258" t="b">
        <v>0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1:47" s="76" customFormat="1" x14ac:dyDescent="0.3">
      <c r="B38" s="212">
        <v>34</v>
      </c>
      <c r="C38" s="157" t="s">
        <v>301</v>
      </c>
      <c r="D38" s="131" t="s">
        <v>302</v>
      </c>
      <c r="E38" s="131" t="s">
        <v>249</v>
      </c>
      <c r="F38" s="131" t="s">
        <v>231</v>
      </c>
      <c r="G38" s="131"/>
      <c r="H38" s="131" t="s">
        <v>251</v>
      </c>
      <c r="I38" s="132" t="s">
        <v>16</v>
      </c>
      <c r="J38" s="258" t="b">
        <v>0</v>
      </c>
      <c r="K38" s="207"/>
      <c r="L38" s="258" t="b">
        <v>0</v>
      </c>
      <c r="M38" s="258" t="b">
        <v>0</v>
      </c>
      <c r="N38" s="258" t="b">
        <v>0</v>
      </c>
      <c r="O38" s="258" t="b">
        <v>0</v>
      </c>
      <c r="P38" s="207"/>
      <c r="R38" s="258" t="b">
        <v>0</v>
      </c>
      <c r="S38" s="131">
        <v>35</v>
      </c>
      <c r="T38" s="258" t="b">
        <v>0</v>
      </c>
      <c r="U38" s="258" t="b">
        <v>0</v>
      </c>
      <c r="V38" s="258" t="b">
        <v>0</v>
      </c>
      <c r="W38" s="163" t="s">
        <v>647</v>
      </c>
      <c r="X38" s="258" t="b">
        <v>0</v>
      </c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</row>
    <row r="39" spans="1:47" s="76" customFormat="1" x14ac:dyDescent="0.3">
      <c r="B39" s="213">
        <v>35</v>
      </c>
      <c r="C39" s="157" t="s">
        <v>303</v>
      </c>
      <c r="D39" s="131" t="s">
        <v>304</v>
      </c>
      <c r="E39" s="131" t="s">
        <v>249</v>
      </c>
      <c r="F39" s="131" t="s">
        <v>231</v>
      </c>
      <c r="G39" s="131"/>
      <c r="H39" s="131" t="s">
        <v>251</v>
      </c>
      <c r="I39" s="132" t="s">
        <v>16</v>
      </c>
      <c r="J39" s="258" t="b">
        <v>0</v>
      </c>
      <c r="K39" s="207"/>
      <c r="L39" s="258" t="b">
        <v>0</v>
      </c>
      <c r="M39" s="258" t="b">
        <v>0</v>
      </c>
      <c r="N39" s="258" t="b">
        <v>0</v>
      </c>
      <c r="O39" s="258" t="b">
        <v>0</v>
      </c>
      <c r="P39" s="207"/>
      <c r="R39" s="258" t="b">
        <v>0</v>
      </c>
      <c r="S39" s="131">
        <v>35</v>
      </c>
      <c r="T39" s="258" t="b">
        <v>0</v>
      </c>
      <c r="U39" s="258" t="b">
        <v>0</v>
      </c>
      <c r="V39" s="258" t="b">
        <v>0</v>
      </c>
      <c r="W39" s="163" t="s">
        <v>647</v>
      </c>
      <c r="X39" s="258" t="b">
        <v>0</v>
      </c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s="76" customFormat="1" x14ac:dyDescent="0.3">
      <c r="B40" s="212">
        <v>36</v>
      </c>
      <c r="C40" s="157" t="s">
        <v>305</v>
      </c>
      <c r="D40" s="131" t="s">
        <v>306</v>
      </c>
      <c r="E40" s="131" t="s">
        <v>249</v>
      </c>
      <c r="F40" s="131" t="s">
        <v>231</v>
      </c>
      <c r="G40" s="131"/>
      <c r="H40" s="131" t="s">
        <v>251</v>
      </c>
      <c r="I40" s="132" t="s">
        <v>16</v>
      </c>
      <c r="J40" s="258" t="b">
        <v>0</v>
      </c>
      <c r="K40" s="207"/>
      <c r="L40" s="258" t="b">
        <v>0</v>
      </c>
      <c r="M40" s="258" t="b">
        <v>0</v>
      </c>
      <c r="N40" s="258" t="b">
        <v>0</v>
      </c>
      <c r="O40" s="258" t="b">
        <v>0</v>
      </c>
      <c r="P40" s="207"/>
      <c r="R40" s="258" t="b">
        <v>0</v>
      </c>
      <c r="S40" s="131">
        <v>35</v>
      </c>
      <c r="T40" s="258" t="b">
        <v>0</v>
      </c>
      <c r="U40" s="258" t="b">
        <v>0</v>
      </c>
      <c r="V40" s="258" t="b">
        <v>0</v>
      </c>
      <c r="W40" s="163" t="s">
        <v>647</v>
      </c>
      <c r="X40" s="258" t="b">
        <v>0</v>
      </c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s="76" customFormat="1" x14ac:dyDescent="0.3">
      <c r="B41" s="212">
        <v>37</v>
      </c>
      <c r="C41" s="157" t="s">
        <v>307</v>
      </c>
      <c r="D41" s="131" t="s">
        <v>308</v>
      </c>
      <c r="E41" s="131" t="s">
        <v>249</v>
      </c>
      <c r="F41" s="131" t="s">
        <v>231</v>
      </c>
      <c r="G41" s="131"/>
      <c r="H41" s="131" t="s">
        <v>251</v>
      </c>
      <c r="I41" s="132" t="s">
        <v>16</v>
      </c>
      <c r="J41" s="258" t="b">
        <v>0</v>
      </c>
      <c r="K41" s="207"/>
      <c r="L41" s="258" t="b">
        <v>0</v>
      </c>
      <c r="M41" s="258" t="b">
        <v>0</v>
      </c>
      <c r="N41" s="258" t="b">
        <v>0</v>
      </c>
      <c r="O41" s="258" t="b">
        <v>0</v>
      </c>
      <c r="P41" s="207"/>
      <c r="R41" s="258" t="b">
        <v>0</v>
      </c>
      <c r="S41" s="131">
        <v>35</v>
      </c>
      <c r="T41" s="258" t="b">
        <v>0</v>
      </c>
      <c r="U41" s="258" t="b">
        <v>0</v>
      </c>
      <c r="V41" s="258" t="b">
        <v>0</v>
      </c>
      <c r="W41" s="163" t="s">
        <v>647</v>
      </c>
      <c r="X41" s="258" t="b">
        <v>0</v>
      </c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</row>
    <row r="42" spans="1:47" s="76" customFormat="1" x14ac:dyDescent="0.3">
      <c r="B42" s="213">
        <v>38</v>
      </c>
      <c r="C42" s="157" t="s">
        <v>309</v>
      </c>
      <c r="D42" s="131" t="s">
        <v>310</v>
      </c>
      <c r="E42" s="131" t="s">
        <v>249</v>
      </c>
      <c r="F42" s="131" t="s">
        <v>231</v>
      </c>
      <c r="G42" s="131"/>
      <c r="H42" s="131" t="s">
        <v>251</v>
      </c>
      <c r="I42" s="132" t="s">
        <v>16</v>
      </c>
      <c r="J42" s="258" t="b">
        <v>0</v>
      </c>
      <c r="K42" s="207"/>
      <c r="L42" s="258" t="b">
        <v>0</v>
      </c>
      <c r="M42" s="258" t="b">
        <v>0</v>
      </c>
      <c r="N42" s="258" t="b">
        <v>0</v>
      </c>
      <c r="O42" s="258" t="b">
        <v>0</v>
      </c>
      <c r="P42" s="207"/>
      <c r="R42" s="258" t="b">
        <v>0</v>
      </c>
      <c r="S42" s="131">
        <v>35</v>
      </c>
      <c r="T42" s="258" t="b">
        <v>0</v>
      </c>
      <c r="U42" s="258" t="b">
        <v>0</v>
      </c>
      <c r="V42" s="258" t="b">
        <v>0</v>
      </c>
      <c r="W42" s="163" t="s">
        <v>647</v>
      </c>
      <c r="X42" s="258" t="b">
        <v>0</v>
      </c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47" s="76" customFormat="1" x14ac:dyDescent="0.3">
      <c r="B43" s="73">
        <v>39</v>
      </c>
      <c r="C43" s="130" t="s">
        <v>311</v>
      </c>
      <c r="D43" s="131" t="s">
        <v>312</v>
      </c>
      <c r="E43" s="131" t="s">
        <v>249</v>
      </c>
      <c r="F43" s="131" t="s">
        <v>231</v>
      </c>
      <c r="G43" s="131"/>
      <c r="H43" s="131" t="s">
        <v>251</v>
      </c>
      <c r="I43" s="132" t="s">
        <v>16</v>
      </c>
      <c r="J43" s="258" t="b">
        <v>0</v>
      </c>
      <c r="K43" s="207"/>
      <c r="L43" s="258" t="b">
        <v>0</v>
      </c>
      <c r="M43" s="258" t="b">
        <v>0</v>
      </c>
      <c r="N43" s="258" t="b">
        <v>0</v>
      </c>
      <c r="O43" s="258" t="b">
        <v>0</v>
      </c>
      <c r="P43" s="207"/>
      <c r="R43" s="258" t="b">
        <v>0</v>
      </c>
      <c r="S43" s="200" t="s">
        <v>536</v>
      </c>
      <c r="T43" s="258" t="b">
        <v>0</v>
      </c>
      <c r="U43" s="258" t="b">
        <v>0</v>
      </c>
      <c r="V43" s="258" t="b">
        <v>0</v>
      </c>
      <c r="W43" s="205" t="s">
        <v>536</v>
      </c>
      <c r="X43" s="258" t="b">
        <v>0</v>
      </c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s="76" customFormat="1" x14ac:dyDescent="0.3">
      <c r="B44" s="73">
        <v>40</v>
      </c>
      <c r="C44" s="130" t="s">
        <v>313</v>
      </c>
      <c r="D44" s="131" t="s">
        <v>314</v>
      </c>
      <c r="E44" s="131" t="s">
        <v>249</v>
      </c>
      <c r="F44" s="131" t="s">
        <v>231</v>
      </c>
      <c r="G44" s="131"/>
      <c r="H44" s="131" t="s">
        <v>16</v>
      </c>
      <c r="I44" s="132" t="s">
        <v>16</v>
      </c>
      <c r="J44" s="258" t="b">
        <v>0</v>
      </c>
      <c r="K44" s="207"/>
      <c r="L44" s="258" t="b">
        <v>0</v>
      </c>
      <c r="M44" s="258" t="b">
        <v>0</v>
      </c>
      <c r="N44" s="258" t="b">
        <v>0</v>
      </c>
      <c r="O44" s="258" t="b">
        <v>0</v>
      </c>
      <c r="P44" s="207"/>
      <c r="R44" s="258" t="b">
        <v>0</v>
      </c>
      <c r="S44" s="200" t="s">
        <v>536</v>
      </c>
      <c r="T44" s="258" t="b">
        <v>0</v>
      </c>
      <c r="U44" s="258" t="b">
        <v>0</v>
      </c>
      <c r="V44" s="258" t="b">
        <v>0</v>
      </c>
      <c r="W44" s="205" t="s">
        <v>536</v>
      </c>
      <c r="X44" s="258" t="b">
        <v>0</v>
      </c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47" s="138" customFormat="1" x14ac:dyDescent="0.3">
      <c r="A45" s="76"/>
      <c r="B45" s="213">
        <v>41</v>
      </c>
      <c r="C45" s="134" t="s">
        <v>315</v>
      </c>
      <c r="D45" s="133" t="s">
        <v>316</v>
      </c>
      <c r="E45" s="133" t="s">
        <v>249</v>
      </c>
      <c r="F45" s="133" t="s">
        <v>231</v>
      </c>
      <c r="G45" s="133"/>
      <c r="H45" s="133" t="s">
        <v>251</v>
      </c>
      <c r="I45" s="135" t="s">
        <v>16</v>
      </c>
      <c r="J45" s="258" t="b">
        <v>0</v>
      </c>
      <c r="K45" s="207"/>
      <c r="L45" s="258" t="b">
        <v>0</v>
      </c>
      <c r="M45" s="258" t="b">
        <v>0</v>
      </c>
      <c r="N45" s="258" t="b">
        <v>0</v>
      </c>
      <c r="O45" s="258" t="b">
        <v>0</v>
      </c>
      <c r="P45" s="207"/>
      <c r="Q45" s="76"/>
      <c r="R45" s="258" t="b">
        <v>0</v>
      </c>
      <c r="S45" s="200" t="s">
        <v>536</v>
      </c>
      <c r="T45" s="258" t="b">
        <v>0</v>
      </c>
      <c r="U45" s="258" t="b">
        <v>0</v>
      </c>
      <c r="V45" s="258" t="b">
        <v>0</v>
      </c>
      <c r="W45" s="163" t="s">
        <v>647</v>
      </c>
      <c r="X45" s="258" t="b">
        <v>0</v>
      </c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47" s="138" customFormat="1" x14ac:dyDescent="0.3">
      <c r="A46" s="76"/>
      <c r="B46" s="212">
        <v>42</v>
      </c>
      <c r="C46" s="157" t="s">
        <v>317</v>
      </c>
      <c r="D46" s="133" t="s">
        <v>318</v>
      </c>
      <c r="E46" s="133" t="s">
        <v>249</v>
      </c>
      <c r="F46" s="133" t="s">
        <v>231</v>
      </c>
      <c r="G46" s="133"/>
      <c r="H46" s="133" t="s">
        <v>251</v>
      </c>
      <c r="I46" s="135" t="s">
        <v>16</v>
      </c>
      <c r="J46" s="258" t="b">
        <v>0</v>
      </c>
      <c r="K46" s="207"/>
      <c r="L46" s="258" t="b">
        <v>0</v>
      </c>
      <c r="M46" s="258" t="b">
        <v>0</v>
      </c>
      <c r="N46" s="258" t="b">
        <v>0</v>
      </c>
      <c r="O46" s="258" t="b">
        <v>0</v>
      </c>
      <c r="P46" s="207"/>
      <c r="Q46" s="76"/>
      <c r="R46" s="258" t="b">
        <v>0</v>
      </c>
      <c r="S46" s="200" t="s">
        <v>536</v>
      </c>
      <c r="T46" s="258" t="b">
        <v>0</v>
      </c>
      <c r="U46" s="258" t="b">
        <v>0</v>
      </c>
      <c r="V46" s="258" t="b">
        <v>0</v>
      </c>
      <c r="W46" s="163" t="s">
        <v>647</v>
      </c>
      <c r="X46" s="258" t="b">
        <v>0</v>
      </c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</row>
    <row r="47" spans="1:47" s="138" customFormat="1" x14ac:dyDescent="0.3">
      <c r="A47" s="76"/>
      <c r="B47" s="73">
        <v>43</v>
      </c>
      <c r="C47" s="157" t="s">
        <v>319</v>
      </c>
      <c r="D47" s="131" t="s">
        <v>320</v>
      </c>
      <c r="E47" s="131" t="s">
        <v>249</v>
      </c>
      <c r="F47" s="131" t="s">
        <v>231</v>
      </c>
      <c r="G47" s="131"/>
      <c r="H47" s="131" t="s">
        <v>251</v>
      </c>
      <c r="I47" s="132" t="s">
        <v>16</v>
      </c>
      <c r="J47" s="258" t="b">
        <v>0</v>
      </c>
      <c r="K47" s="207"/>
      <c r="L47" s="258" t="b">
        <v>0</v>
      </c>
      <c r="M47" s="258" t="b">
        <v>0</v>
      </c>
      <c r="N47" s="258" t="b">
        <v>0</v>
      </c>
      <c r="O47" s="258" t="b">
        <v>0</v>
      </c>
      <c r="P47" s="207"/>
      <c r="Q47" s="76"/>
      <c r="R47" s="258" t="b">
        <v>0</v>
      </c>
      <c r="S47" s="200" t="s">
        <v>536</v>
      </c>
      <c r="T47" s="258" t="b">
        <v>0</v>
      </c>
      <c r="U47" s="258" t="b">
        <v>0</v>
      </c>
      <c r="V47" s="258" t="b">
        <v>0</v>
      </c>
      <c r="W47" s="205" t="s">
        <v>536</v>
      </c>
      <c r="X47" s="258" t="b">
        <v>0</v>
      </c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</row>
    <row r="48" spans="1:47" s="138" customFormat="1" x14ac:dyDescent="0.3">
      <c r="A48" s="76"/>
      <c r="B48" s="197">
        <v>44</v>
      </c>
      <c r="C48" s="157" t="s">
        <v>321</v>
      </c>
      <c r="D48" s="131" t="s">
        <v>322</v>
      </c>
      <c r="E48" s="131" t="s">
        <v>249</v>
      </c>
      <c r="F48" s="131" t="s">
        <v>231</v>
      </c>
      <c r="G48" s="131"/>
      <c r="H48" s="131" t="s">
        <v>251</v>
      </c>
      <c r="I48" s="132" t="s">
        <v>16</v>
      </c>
      <c r="J48" s="258" t="b">
        <v>0</v>
      </c>
      <c r="K48" s="207"/>
      <c r="L48" s="258" t="b">
        <v>0</v>
      </c>
      <c r="M48" s="258" t="b">
        <v>0</v>
      </c>
      <c r="N48" s="258" t="b">
        <v>0</v>
      </c>
      <c r="O48" s="258" t="b">
        <v>0</v>
      </c>
      <c r="P48" s="207"/>
      <c r="Q48" s="76"/>
      <c r="R48" s="258" t="b">
        <v>0</v>
      </c>
      <c r="S48" s="200" t="s">
        <v>536</v>
      </c>
      <c r="T48" s="258" t="b">
        <v>0</v>
      </c>
      <c r="U48" s="258" t="b">
        <v>0</v>
      </c>
      <c r="V48" s="258" t="b">
        <v>0</v>
      </c>
      <c r="W48" s="205" t="s">
        <v>536</v>
      </c>
      <c r="X48" s="258" t="b">
        <v>0</v>
      </c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</row>
    <row r="49" spans="1:47" s="76" customFormat="1" x14ac:dyDescent="0.3">
      <c r="B49" s="73">
        <v>45</v>
      </c>
      <c r="C49" s="157" t="s">
        <v>323</v>
      </c>
      <c r="D49" s="131" t="s">
        <v>324</v>
      </c>
      <c r="E49" s="131" t="s">
        <v>249</v>
      </c>
      <c r="F49" s="131" t="s">
        <v>231</v>
      </c>
      <c r="G49" s="131"/>
      <c r="H49" s="131" t="s">
        <v>251</v>
      </c>
      <c r="I49" s="132" t="s">
        <v>16</v>
      </c>
      <c r="J49" s="258" t="b">
        <v>0</v>
      </c>
      <c r="K49" s="207"/>
      <c r="L49" s="258" t="b">
        <v>0</v>
      </c>
      <c r="M49" s="258" t="b">
        <v>0</v>
      </c>
      <c r="N49" s="258" t="b">
        <v>0</v>
      </c>
      <c r="O49" s="258" t="b">
        <v>0</v>
      </c>
      <c r="P49" s="207"/>
      <c r="R49" s="258" t="b">
        <v>0</v>
      </c>
      <c r="S49" s="200" t="s">
        <v>536</v>
      </c>
      <c r="T49" s="258" t="b">
        <v>0</v>
      </c>
      <c r="U49" s="258" t="b">
        <v>0</v>
      </c>
      <c r="V49" s="258" t="b">
        <v>0</v>
      </c>
      <c r="W49" s="205" t="s">
        <v>536</v>
      </c>
      <c r="X49" s="258" t="b">
        <v>0</v>
      </c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</row>
    <row r="50" spans="1:47" s="76" customFormat="1" x14ac:dyDescent="0.3">
      <c r="B50" s="73">
        <v>46</v>
      </c>
      <c r="C50" s="130" t="s">
        <v>325</v>
      </c>
      <c r="D50" s="131" t="s">
        <v>326</v>
      </c>
      <c r="E50" s="131" t="s">
        <v>249</v>
      </c>
      <c r="F50" s="131" t="s">
        <v>231</v>
      </c>
      <c r="G50" s="131"/>
      <c r="H50" s="131" t="s">
        <v>251</v>
      </c>
      <c r="I50" s="132" t="s">
        <v>16</v>
      </c>
      <c r="J50" s="258" t="b">
        <v>0</v>
      </c>
      <c r="K50" s="207"/>
      <c r="L50" s="258" t="b">
        <v>0</v>
      </c>
      <c r="M50" s="258" t="b">
        <v>0</v>
      </c>
      <c r="N50" s="258" t="b">
        <v>0</v>
      </c>
      <c r="O50" s="258" t="b">
        <v>0</v>
      </c>
      <c r="P50" s="207"/>
      <c r="R50" s="258" t="b">
        <v>0</v>
      </c>
      <c r="S50" s="200" t="s">
        <v>536</v>
      </c>
      <c r="T50" s="258" t="b">
        <v>0</v>
      </c>
      <c r="U50" s="258" t="b">
        <v>0</v>
      </c>
      <c r="V50" s="258" t="b">
        <v>0</v>
      </c>
      <c r="W50" s="205" t="s">
        <v>536</v>
      </c>
      <c r="X50" s="258" t="b">
        <v>0</v>
      </c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</row>
    <row r="51" spans="1:47" s="76" customFormat="1" x14ac:dyDescent="0.3">
      <c r="B51" s="197">
        <v>47</v>
      </c>
      <c r="C51" s="130" t="s">
        <v>327</v>
      </c>
      <c r="D51" s="131" t="s">
        <v>328</v>
      </c>
      <c r="E51" s="131" t="s">
        <v>249</v>
      </c>
      <c r="F51" s="131" t="s">
        <v>231</v>
      </c>
      <c r="G51" s="131"/>
      <c r="H51" s="131" t="s">
        <v>251</v>
      </c>
      <c r="I51" s="132" t="s">
        <v>16</v>
      </c>
      <c r="J51" s="258" t="b">
        <v>0</v>
      </c>
      <c r="K51" s="207"/>
      <c r="L51" s="258" t="b">
        <v>0</v>
      </c>
      <c r="M51" s="258" t="b">
        <v>0</v>
      </c>
      <c r="N51" s="258" t="b">
        <v>0</v>
      </c>
      <c r="O51" s="258" t="b">
        <v>0</v>
      </c>
      <c r="P51" s="207"/>
      <c r="R51" s="258" t="b">
        <v>0</v>
      </c>
      <c r="S51" s="200" t="s">
        <v>536</v>
      </c>
      <c r="T51" s="258" t="b">
        <v>0</v>
      </c>
      <c r="U51" s="258" t="b">
        <v>0</v>
      </c>
      <c r="V51" s="258" t="b">
        <v>0</v>
      </c>
      <c r="W51" s="205" t="s">
        <v>536</v>
      </c>
      <c r="X51" s="258" t="b">
        <v>0</v>
      </c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</row>
    <row r="52" spans="1:47" s="76" customFormat="1" x14ac:dyDescent="0.3">
      <c r="B52" s="73">
        <v>48</v>
      </c>
      <c r="C52" s="157" t="s">
        <v>329</v>
      </c>
      <c r="D52" s="131" t="s">
        <v>330</v>
      </c>
      <c r="E52" s="131" t="s">
        <v>249</v>
      </c>
      <c r="F52" s="131" t="s">
        <v>231</v>
      </c>
      <c r="G52" s="131"/>
      <c r="H52" s="131" t="s">
        <v>251</v>
      </c>
      <c r="I52" s="132" t="s">
        <v>16</v>
      </c>
      <c r="J52" s="258" t="b">
        <v>0</v>
      </c>
      <c r="K52" s="207"/>
      <c r="L52" s="258" t="b">
        <v>0</v>
      </c>
      <c r="M52" s="258" t="b">
        <v>0</v>
      </c>
      <c r="N52" s="258" t="b">
        <v>0</v>
      </c>
      <c r="O52" s="258" t="b">
        <v>0</v>
      </c>
      <c r="P52" s="207"/>
      <c r="R52" s="258" t="b">
        <v>0</v>
      </c>
      <c r="S52" s="200" t="s">
        <v>536</v>
      </c>
      <c r="T52" s="258" t="b">
        <v>0</v>
      </c>
      <c r="U52" s="258" t="b">
        <v>0</v>
      </c>
      <c r="V52" s="258" t="b">
        <v>0</v>
      </c>
      <c r="W52" s="205" t="s">
        <v>536</v>
      </c>
      <c r="X52" s="258" t="b">
        <v>0</v>
      </c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</row>
    <row r="53" spans="1:47" s="76" customFormat="1" x14ac:dyDescent="0.3">
      <c r="B53" s="73">
        <v>49</v>
      </c>
      <c r="C53" s="157" t="s">
        <v>331</v>
      </c>
      <c r="D53" s="131" t="s">
        <v>332</v>
      </c>
      <c r="E53" s="131" t="s">
        <v>249</v>
      </c>
      <c r="F53" s="131" t="s">
        <v>231</v>
      </c>
      <c r="G53" s="131"/>
      <c r="H53" s="131" t="s">
        <v>251</v>
      </c>
      <c r="I53" s="132" t="s">
        <v>16</v>
      </c>
      <c r="J53" s="258" t="b">
        <v>0</v>
      </c>
      <c r="K53" s="207"/>
      <c r="L53" s="258" t="b">
        <v>0</v>
      </c>
      <c r="M53" s="258" t="b">
        <v>0</v>
      </c>
      <c r="N53" s="258" t="b">
        <v>0</v>
      </c>
      <c r="O53" s="258" t="b">
        <v>0</v>
      </c>
      <c r="P53" s="207"/>
      <c r="R53" s="258" t="b">
        <v>0</v>
      </c>
      <c r="S53" s="200" t="s">
        <v>536</v>
      </c>
      <c r="T53" s="258" t="b">
        <v>0</v>
      </c>
      <c r="U53" s="258" t="b">
        <v>0</v>
      </c>
      <c r="V53" s="258" t="b">
        <v>0</v>
      </c>
      <c r="W53" s="205" t="s">
        <v>536</v>
      </c>
      <c r="X53" s="258" t="b">
        <v>0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</row>
    <row r="54" spans="1:47" s="76" customFormat="1" x14ac:dyDescent="0.3">
      <c r="B54" s="197">
        <v>50</v>
      </c>
      <c r="C54" s="157" t="s">
        <v>333</v>
      </c>
      <c r="D54" s="131" t="s">
        <v>334</v>
      </c>
      <c r="E54" s="131" t="s">
        <v>249</v>
      </c>
      <c r="F54" s="131" t="s">
        <v>231</v>
      </c>
      <c r="G54" s="131"/>
      <c r="H54" s="131" t="s">
        <v>251</v>
      </c>
      <c r="I54" s="132" t="s">
        <v>16</v>
      </c>
      <c r="J54" s="258" t="b">
        <v>0</v>
      </c>
      <c r="K54" s="207"/>
      <c r="L54" s="258" t="b">
        <v>0</v>
      </c>
      <c r="M54" s="258" t="b">
        <v>0</v>
      </c>
      <c r="N54" s="258" t="b">
        <v>0</v>
      </c>
      <c r="O54" s="258" t="b">
        <v>0</v>
      </c>
      <c r="P54" s="207"/>
      <c r="R54" s="258" t="b">
        <v>0</v>
      </c>
      <c r="S54" s="200" t="s">
        <v>536</v>
      </c>
      <c r="T54" s="258" t="b">
        <v>0</v>
      </c>
      <c r="U54" s="258" t="b">
        <v>0</v>
      </c>
      <c r="V54" s="258" t="b">
        <v>0</v>
      </c>
      <c r="W54" s="205" t="s">
        <v>536</v>
      </c>
      <c r="X54" s="258" t="b">
        <v>0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s="76" customFormat="1" x14ac:dyDescent="0.3">
      <c r="B55" s="73">
        <v>51</v>
      </c>
      <c r="C55" s="130" t="s">
        <v>335</v>
      </c>
      <c r="D55" s="131" t="s">
        <v>336</v>
      </c>
      <c r="E55" s="131" t="s">
        <v>249</v>
      </c>
      <c r="F55" s="131" t="s">
        <v>231</v>
      </c>
      <c r="G55" s="131"/>
      <c r="H55" s="131" t="s">
        <v>251</v>
      </c>
      <c r="I55" s="132" t="s">
        <v>16</v>
      </c>
      <c r="J55" s="258" t="b">
        <v>0</v>
      </c>
      <c r="K55" s="207"/>
      <c r="L55" s="258" t="b">
        <v>0</v>
      </c>
      <c r="M55" s="258" t="b">
        <v>0</v>
      </c>
      <c r="N55" s="258" t="b">
        <v>0</v>
      </c>
      <c r="O55" s="258" t="b">
        <v>0</v>
      </c>
      <c r="P55" s="207"/>
      <c r="R55" s="258" t="b">
        <v>0</v>
      </c>
      <c r="S55" s="200" t="s">
        <v>536</v>
      </c>
      <c r="T55" s="258" t="b">
        <v>0</v>
      </c>
      <c r="U55" s="258" t="b">
        <v>0</v>
      </c>
      <c r="V55" s="258" t="b">
        <v>0</v>
      </c>
      <c r="W55" s="205" t="s">
        <v>536</v>
      </c>
      <c r="X55" s="258" t="b">
        <v>0</v>
      </c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</row>
    <row r="56" spans="1:47" s="76" customFormat="1" x14ac:dyDescent="0.3">
      <c r="B56" s="73">
        <v>52</v>
      </c>
      <c r="C56" s="130" t="s">
        <v>337</v>
      </c>
      <c r="D56" s="131" t="s">
        <v>338</v>
      </c>
      <c r="E56" s="131" t="s">
        <v>249</v>
      </c>
      <c r="F56" s="131" t="s">
        <v>231</v>
      </c>
      <c r="G56" s="131"/>
      <c r="H56" s="131" t="s">
        <v>251</v>
      </c>
      <c r="I56" s="132" t="s">
        <v>16</v>
      </c>
      <c r="J56" s="258" t="b">
        <v>0</v>
      </c>
      <c r="K56" s="207"/>
      <c r="L56" s="258" t="b">
        <v>0</v>
      </c>
      <c r="M56" s="258" t="b">
        <v>0</v>
      </c>
      <c r="N56" s="258" t="b">
        <v>0</v>
      </c>
      <c r="O56" s="258" t="b">
        <v>0</v>
      </c>
      <c r="P56" s="207"/>
      <c r="R56" s="258" t="b">
        <v>0</v>
      </c>
      <c r="S56" s="200" t="s">
        <v>536</v>
      </c>
      <c r="T56" s="258" t="b">
        <v>0</v>
      </c>
      <c r="U56" s="258" t="b">
        <v>0</v>
      </c>
      <c r="V56" s="258" t="b">
        <v>0</v>
      </c>
      <c r="W56" s="205" t="s">
        <v>536</v>
      </c>
      <c r="X56" s="258" t="b">
        <v>0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</row>
    <row r="57" spans="1:47" s="76" customFormat="1" x14ac:dyDescent="0.3">
      <c r="B57" s="197">
        <v>53</v>
      </c>
      <c r="C57" s="130" t="s">
        <v>339</v>
      </c>
      <c r="D57" s="131" t="s">
        <v>340</v>
      </c>
      <c r="E57" s="131" t="s">
        <v>249</v>
      </c>
      <c r="F57" s="131" t="s">
        <v>231</v>
      </c>
      <c r="G57" s="131"/>
      <c r="H57" s="131" t="s">
        <v>251</v>
      </c>
      <c r="I57" s="132" t="s">
        <v>16</v>
      </c>
      <c r="J57" s="258" t="b">
        <v>0</v>
      </c>
      <c r="K57" s="207"/>
      <c r="L57" s="258" t="b">
        <v>0</v>
      </c>
      <c r="M57" s="258" t="b">
        <v>0</v>
      </c>
      <c r="N57" s="258" t="b">
        <v>0</v>
      </c>
      <c r="O57" s="258" t="b">
        <v>0</v>
      </c>
      <c r="P57" s="207"/>
      <c r="R57" s="258" t="b">
        <v>0</v>
      </c>
      <c r="S57" s="200" t="s">
        <v>536</v>
      </c>
      <c r="T57" s="258" t="b">
        <v>0</v>
      </c>
      <c r="U57" s="258" t="b">
        <v>0</v>
      </c>
      <c r="V57" s="258" t="b">
        <v>0</v>
      </c>
      <c r="W57" s="205" t="s">
        <v>536</v>
      </c>
      <c r="X57" s="258" t="b">
        <v>0</v>
      </c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</row>
    <row r="58" spans="1:47" s="76" customFormat="1" x14ac:dyDescent="0.3">
      <c r="B58" s="73">
        <v>54</v>
      </c>
      <c r="C58" s="130" t="s">
        <v>341</v>
      </c>
      <c r="D58" s="131" t="s">
        <v>342</v>
      </c>
      <c r="E58" s="131" t="s">
        <v>249</v>
      </c>
      <c r="F58" s="131" t="s">
        <v>231</v>
      </c>
      <c r="G58" s="131"/>
      <c r="H58" s="131" t="s">
        <v>251</v>
      </c>
      <c r="I58" s="132" t="s">
        <v>233</v>
      </c>
      <c r="J58" s="258" t="b">
        <v>0</v>
      </c>
      <c r="K58" s="207"/>
      <c r="L58" s="258" t="b">
        <v>0</v>
      </c>
      <c r="M58" s="258" t="b">
        <v>0</v>
      </c>
      <c r="N58" s="258" t="b">
        <v>0</v>
      </c>
      <c r="O58" s="258" t="b">
        <v>0</v>
      </c>
      <c r="P58" s="207"/>
      <c r="R58" s="258" t="b">
        <v>0</v>
      </c>
      <c r="S58" s="131">
        <v>49</v>
      </c>
      <c r="T58" s="258" t="b">
        <v>0</v>
      </c>
      <c r="U58" s="258" t="b">
        <v>0</v>
      </c>
      <c r="V58" s="258" t="b">
        <v>0</v>
      </c>
      <c r="W58" s="163"/>
      <c r="X58" s="258" t="b">
        <v>0</v>
      </c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</row>
    <row r="59" spans="1:47" s="76" customFormat="1" x14ac:dyDescent="0.3">
      <c r="B59" s="73">
        <v>55</v>
      </c>
      <c r="C59" s="130" t="s">
        <v>343</v>
      </c>
      <c r="D59" s="131" t="s">
        <v>344</v>
      </c>
      <c r="E59" s="131" t="s">
        <v>249</v>
      </c>
      <c r="F59" s="131" t="s">
        <v>231</v>
      </c>
      <c r="G59" s="131"/>
      <c r="H59" s="131" t="s">
        <v>251</v>
      </c>
      <c r="I59" s="132" t="s">
        <v>16</v>
      </c>
      <c r="J59" s="258" t="b">
        <v>0</v>
      </c>
      <c r="K59" s="207"/>
      <c r="L59" s="258" t="b">
        <v>0</v>
      </c>
      <c r="M59" s="258" t="b">
        <v>0</v>
      </c>
      <c r="N59" s="258" t="b">
        <v>0</v>
      </c>
      <c r="O59" s="258" t="b">
        <v>0</v>
      </c>
      <c r="P59" s="207"/>
      <c r="R59" s="258" t="b">
        <v>0</v>
      </c>
      <c r="S59" s="200" t="s">
        <v>536</v>
      </c>
      <c r="T59" s="258" t="b">
        <v>0</v>
      </c>
      <c r="U59" s="258" t="b">
        <v>0</v>
      </c>
      <c r="V59" s="258" t="b">
        <v>0</v>
      </c>
      <c r="W59" s="205" t="s">
        <v>536</v>
      </c>
      <c r="X59" s="258" t="b">
        <v>0</v>
      </c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</row>
    <row r="60" spans="1:47" s="76" customFormat="1" x14ac:dyDescent="0.3">
      <c r="B60" s="197">
        <v>56</v>
      </c>
      <c r="C60" s="157" t="s">
        <v>345</v>
      </c>
      <c r="D60" s="131" t="s">
        <v>346</v>
      </c>
      <c r="E60" s="131" t="s">
        <v>249</v>
      </c>
      <c r="F60" s="131" t="s">
        <v>231</v>
      </c>
      <c r="G60" s="131"/>
      <c r="H60" s="131" t="s">
        <v>251</v>
      </c>
      <c r="I60" s="132" t="s">
        <v>16</v>
      </c>
      <c r="J60" s="258" t="b">
        <v>0</v>
      </c>
      <c r="K60" s="207"/>
      <c r="L60" s="258" t="b">
        <v>0</v>
      </c>
      <c r="M60" s="258" t="b">
        <v>0</v>
      </c>
      <c r="N60" s="258" t="b">
        <v>0</v>
      </c>
      <c r="O60" s="258" t="b">
        <v>0</v>
      </c>
      <c r="P60" s="207"/>
      <c r="R60" s="258" t="b">
        <v>0</v>
      </c>
      <c r="S60" s="131">
        <v>20</v>
      </c>
      <c r="T60" s="258" t="b">
        <v>0</v>
      </c>
      <c r="U60" s="258" t="b">
        <v>0</v>
      </c>
      <c r="V60" s="258" t="b">
        <v>0</v>
      </c>
      <c r="W60" s="163"/>
      <c r="X60" s="258" t="b">
        <v>0</v>
      </c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</row>
    <row r="61" spans="1:47" s="138" customFormat="1" x14ac:dyDescent="0.3">
      <c r="A61" s="76"/>
      <c r="B61" s="73">
        <v>57</v>
      </c>
      <c r="C61" s="130" t="s">
        <v>347</v>
      </c>
      <c r="D61" s="131" t="s">
        <v>348</v>
      </c>
      <c r="E61" s="131" t="s">
        <v>249</v>
      </c>
      <c r="F61" s="131" t="s">
        <v>231</v>
      </c>
      <c r="G61" s="131"/>
      <c r="H61" s="131" t="s">
        <v>251</v>
      </c>
      <c r="I61" s="132" t="s">
        <v>233</v>
      </c>
      <c r="J61" s="258" t="b">
        <v>0</v>
      </c>
      <c r="K61" s="207"/>
      <c r="L61" s="258" t="b">
        <v>0</v>
      </c>
      <c r="M61" s="258" t="b">
        <v>0</v>
      </c>
      <c r="N61" s="258" t="b">
        <v>0</v>
      </c>
      <c r="O61" s="258" t="b">
        <v>0</v>
      </c>
      <c r="P61" s="207"/>
      <c r="Q61" s="76"/>
      <c r="R61" s="258" t="b">
        <v>0</v>
      </c>
      <c r="S61" s="131">
        <v>21</v>
      </c>
      <c r="T61" s="258" t="b">
        <v>0</v>
      </c>
      <c r="U61" s="258" t="b">
        <v>0</v>
      </c>
      <c r="V61" s="258" t="b">
        <v>0</v>
      </c>
      <c r="W61" s="163"/>
      <c r="X61" s="258" t="b">
        <v>0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</row>
    <row r="62" spans="1:47" s="138" customFormat="1" x14ac:dyDescent="0.3">
      <c r="A62" s="76"/>
      <c r="B62" s="73">
        <v>58</v>
      </c>
      <c r="C62" s="130" t="s">
        <v>349</v>
      </c>
      <c r="D62" s="131" t="s">
        <v>350</v>
      </c>
      <c r="E62" s="131" t="s">
        <v>249</v>
      </c>
      <c r="F62" s="131" t="s">
        <v>231</v>
      </c>
      <c r="G62" s="131"/>
      <c r="H62" s="131" t="s">
        <v>251</v>
      </c>
      <c r="I62" s="132" t="s">
        <v>16</v>
      </c>
      <c r="J62" s="258" t="b">
        <v>0</v>
      </c>
      <c r="K62" s="207"/>
      <c r="L62" s="258" t="b">
        <v>0</v>
      </c>
      <c r="M62" s="258" t="b">
        <v>0</v>
      </c>
      <c r="N62" s="258" t="b">
        <v>0</v>
      </c>
      <c r="O62" s="258" t="b">
        <v>0</v>
      </c>
      <c r="P62" s="207"/>
      <c r="Q62" s="76"/>
      <c r="R62" s="258" t="b">
        <v>0</v>
      </c>
      <c r="S62" s="200" t="s">
        <v>536</v>
      </c>
      <c r="T62" s="258" t="b">
        <v>0</v>
      </c>
      <c r="U62" s="258" t="b">
        <v>0</v>
      </c>
      <c r="V62" s="258" t="b">
        <v>0</v>
      </c>
      <c r="W62" s="205" t="s">
        <v>536</v>
      </c>
      <c r="X62" s="258" t="b">
        <v>0</v>
      </c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</row>
    <row r="63" spans="1:47" s="138" customFormat="1" x14ac:dyDescent="0.3">
      <c r="A63" s="76"/>
      <c r="B63" s="197">
        <v>59</v>
      </c>
      <c r="C63" s="157" t="s">
        <v>351</v>
      </c>
      <c r="D63" s="131" t="s">
        <v>352</v>
      </c>
      <c r="E63" s="131" t="s">
        <v>249</v>
      </c>
      <c r="F63" s="131" t="s">
        <v>231</v>
      </c>
      <c r="G63" s="131"/>
      <c r="H63" s="131" t="s">
        <v>251</v>
      </c>
      <c r="I63" s="132" t="s">
        <v>16</v>
      </c>
      <c r="J63" s="258" t="b">
        <v>0</v>
      </c>
      <c r="K63" s="207"/>
      <c r="L63" s="258" t="b">
        <v>0</v>
      </c>
      <c r="M63" s="258" t="b">
        <v>0</v>
      </c>
      <c r="N63" s="258" t="b">
        <v>0</v>
      </c>
      <c r="O63" s="258" t="b">
        <v>0</v>
      </c>
      <c r="P63" s="207"/>
      <c r="Q63" s="76"/>
      <c r="R63" s="258" t="b">
        <v>0</v>
      </c>
      <c r="S63" s="200" t="s">
        <v>536</v>
      </c>
      <c r="T63" s="258" t="b">
        <v>0</v>
      </c>
      <c r="U63" s="258" t="b">
        <v>0</v>
      </c>
      <c r="V63" s="258" t="b">
        <v>0</v>
      </c>
      <c r="W63" s="205" t="s">
        <v>536</v>
      </c>
      <c r="X63" s="258" t="b">
        <v>0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</row>
    <row r="64" spans="1:47" s="138" customFormat="1" x14ac:dyDescent="0.3">
      <c r="A64" s="76"/>
      <c r="B64" s="73">
        <v>60</v>
      </c>
      <c r="C64" s="157" t="s">
        <v>353</v>
      </c>
      <c r="D64" s="131" t="s">
        <v>354</v>
      </c>
      <c r="E64" s="131" t="s">
        <v>249</v>
      </c>
      <c r="F64" s="131" t="s">
        <v>231</v>
      </c>
      <c r="G64" s="131"/>
      <c r="H64" s="131" t="s">
        <v>251</v>
      </c>
      <c r="I64" s="132" t="s">
        <v>16</v>
      </c>
      <c r="J64" s="258" t="b">
        <v>0</v>
      </c>
      <c r="K64" s="207"/>
      <c r="L64" s="258" t="b">
        <v>0</v>
      </c>
      <c r="M64" s="258" t="b">
        <v>0</v>
      </c>
      <c r="N64" s="258" t="b">
        <v>0</v>
      </c>
      <c r="O64" s="258" t="b">
        <v>0</v>
      </c>
      <c r="P64" s="207"/>
      <c r="Q64" s="76"/>
      <c r="R64" s="258" t="b">
        <v>0</v>
      </c>
      <c r="S64" s="200" t="s">
        <v>536</v>
      </c>
      <c r="T64" s="258" t="b">
        <v>0</v>
      </c>
      <c r="U64" s="258" t="b">
        <v>0</v>
      </c>
      <c r="V64" s="258" t="b">
        <v>0</v>
      </c>
      <c r="W64" s="205" t="s">
        <v>536</v>
      </c>
      <c r="X64" s="258" t="b">
        <v>0</v>
      </c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</row>
    <row r="65" spans="1:70" s="138" customFormat="1" x14ac:dyDescent="0.3">
      <c r="A65" s="76"/>
      <c r="B65" s="73">
        <v>61</v>
      </c>
      <c r="C65" s="241" t="s">
        <v>355</v>
      </c>
      <c r="D65" s="131" t="s">
        <v>356</v>
      </c>
      <c r="E65" s="131" t="s">
        <v>249</v>
      </c>
      <c r="F65" s="131" t="s">
        <v>231</v>
      </c>
      <c r="G65" s="131"/>
      <c r="H65" s="131" t="s">
        <v>251</v>
      </c>
      <c r="I65" s="132" t="s">
        <v>16</v>
      </c>
      <c r="J65" s="258" t="b">
        <v>0</v>
      </c>
      <c r="K65" s="207"/>
      <c r="L65" s="258" t="b">
        <v>0</v>
      </c>
      <c r="M65" s="258" t="b">
        <v>0</v>
      </c>
      <c r="N65" s="258" t="b">
        <v>0</v>
      </c>
      <c r="O65" s="258" t="b">
        <v>0</v>
      </c>
      <c r="P65" s="207"/>
      <c r="Q65" s="76"/>
      <c r="R65" s="258" t="b">
        <v>0</v>
      </c>
      <c r="S65" s="200" t="s">
        <v>536</v>
      </c>
      <c r="T65" s="258" t="b">
        <v>0</v>
      </c>
      <c r="U65" s="258" t="b">
        <v>0</v>
      </c>
      <c r="V65" s="258" t="b">
        <v>0</v>
      </c>
      <c r="W65" s="205" t="s">
        <v>536</v>
      </c>
      <c r="X65" s="258" t="b">
        <v>0</v>
      </c>
      <c r="Z65" s="76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</row>
    <row r="66" spans="1:70" s="138" customFormat="1" x14ac:dyDescent="0.3">
      <c r="A66" s="76"/>
      <c r="B66" s="197">
        <v>62</v>
      </c>
      <c r="C66" s="157" t="s">
        <v>357</v>
      </c>
      <c r="D66" s="131" t="s">
        <v>358</v>
      </c>
      <c r="E66" s="131" t="s">
        <v>249</v>
      </c>
      <c r="F66" s="131" t="s">
        <v>231</v>
      </c>
      <c r="G66" s="131"/>
      <c r="H66" s="131" t="s">
        <v>16</v>
      </c>
      <c r="I66" s="132" t="s">
        <v>16</v>
      </c>
      <c r="J66" s="258" t="b">
        <v>0</v>
      </c>
      <c r="K66" s="207"/>
      <c r="L66" s="258" t="b">
        <v>0</v>
      </c>
      <c r="M66" s="258" t="b">
        <v>0</v>
      </c>
      <c r="N66" s="258" t="b">
        <v>0</v>
      </c>
      <c r="O66" s="258" t="b">
        <v>0</v>
      </c>
      <c r="P66" s="207"/>
      <c r="Q66" s="76"/>
      <c r="R66" s="258" t="b">
        <v>0</v>
      </c>
      <c r="S66" s="200" t="s">
        <v>536</v>
      </c>
      <c r="T66" s="258" t="b">
        <v>0</v>
      </c>
      <c r="U66" s="258" t="b">
        <v>0</v>
      </c>
      <c r="V66" s="258" t="b">
        <v>0</v>
      </c>
      <c r="W66" s="205" t="s">
        <v>536</v>
      </c>
      <c r="X66" s="258" t="b">
        <v>0</v>
      </c>
      <c r="Z66" s="7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</row>
    <row r="67" spans="1:70" s="138" customFormat="1" x14ac:dyDescent="0.3">
      <c r="A67" s="76"/>
      <c r="B67" s="73">
        <v>63</v>
      </c>
      <c r="C67" s="157" t="s">
        <v>359</v>
      </c>
      <c r="D67" s="131" t="s">
        <v>360</v>
      </c>
      <c r="E67" s="131" t="s">
        <v>249</v>
      </c>
      <c r="F67" s="131" t="s">
        <v>231</v>
      </c>
      <c r="G67" s="131"/>
      <c r="H67" s="131" t="s">
        <v>251</v>
      </c>
      <c r="I67" s="132" t="s">
        <v>16</v>
      </c>
      <c r="J67" s="258" t="b">
        <v>0</v>
      </c>
      <c r="K67" s="207"/>
      <c r="L67" s="258" t="b">
        <v>0</v>
      </c>
      <c r="M67" s="258" t="b">
        <v>0</v>
      </c>
      <c r="N67" s="258" t="b">
        <v>0</v>
      </c>
      <c r="O67" s="258" t="b">
        <v>0</v>
      </c>
      <c r="P67" s="207"/>
      <c r="Q67" s="76"/>
      <c r="R67" s="258" t="b">
        <v>0</v>
      </c>
      <c r="S67" s="200" t="s">
        <v>536</v>
      </c>
      <c r="T67" s="258" t="b">
        <v>0</v>
      </c>
      <c r="U67" s="258" t="b">
        <v>0</v>
      </c>
      <c r="V67" s="258" t="b">
        <v>0</v>
      </c>
      <c r="W67" s="205" t="s">
        <v>536</v>
      </c>
      <c r="X67" s="258" t="b">
        <v>0</v>
      </c>
      <c r="Z67" s="76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</row>
    <row r="68" spans="1:70" s="138" customFormat="1" x14ac:dyDescent="0.3">
      <c r="A68" s="76"/>
      <c r="B68" s="73">
        <v>64</v>
      </c>
      <c r="C68" s="157" t="s">
        <v>361</v>
      </c>
      <c r="D68" s="131" t="s">
        <v>362</v>
      </c>
      <c r="E68" s="131" t="s">
        <v>249</v>
      </c>
      <c r="F68" s="131" t="s">
        <v>231</v>
      </c>
      <c r="G68" s="131"/>
      <c r="H68" s="131" t="s">
        <v>251</v>
      </c>
      <c r="I68" s="132" t="s">
        <v>16</v>
      </c>
      <c r="J68" s="258" t="b">
        <v>0</v>
      </c>
      <c r="K68" s="207"/>
      <c r="L68" s="258" t="b">
        <v>0</v>
      </c>
      <c r="M68" s="258" t="b">
        <v>0</v>
      </c>
      <c r="N68" s="258" t="b">
        <v>0</v>
      </c>
      <c r="O68" s="258" t="b">
        <v>0</v>
      </c>
      <c r="P68" s="207"/>
      <c r="Q68" s="76"/>
      <c r="R68" s="258" t="b">
        <v>0</v>
      </c>
      <c r="S68" s="200" t="s">
        <v>536</v>
      </c>
      <c r="T68" s="258" t="b">
        <v>0</v>
      </c>
      <c r="U68" s="258" t="b">
        <v>0</v>
      </c>
      <c r="V68" s="258" t="b">
        <v>0</v>
      </c>
      <c r="W68" s="205" t="s">
        <v>536</v>
      </c>
      <c r="X68" s="258" t="b">
        <v>0</v>
      </c>
      <c r="Z68" s="76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</row>
    <row r="69" spans="1:70" s="138" customFormat="1" x14ac:dyDescent="0.3">
      <c r="A69" s="76"/>
      <c r="B69" s="197">
        <v>65</v>
      </c>
      <c r="C69" s="157" t="s">
        <v>363</v>
      </c>
      <c r="D69" s="131" t="s">
        <v>364</v>
      </c>
      <c r="E69" s="131" t="s">
        <v>249</v>
      </c>
      <c r="F69" s="131" t="s">
        <v>231</v>
      </c>
      <c r="G69" s="131"/>
      <c r="H69" s="131" t="s">
        <v>286</v>
      </c>
      <c r="I69" s="132" t="s">
        <v>16</v>
      </c>
      <c r="J69" s="258" t="b">
        <v>0</v>
      </c>
      <c r="K69" s="207"/>
      <c r="L69" s="258" t="b">
        <v>0</v>
      </c>
      <c r="M69" s="258" t="b">
        <v>0</v>
      </c>
      <c r="N69" s="258" t="b">
        <v>0</v>
      </c>
      <c r="O69" s="258" t="b">
        <v>0</v>
      </c>
      <c r="P69" s="207"/>
      <c r="Q69" s="76"/>
      <c r="R69" s="258" t="b">
        <v>0</v>
      </c>
      <c r="S69" s="200" t="s">
        <v>536</v>
      </c>
      <c r="T69" s="258" t="b">
        <v>0</v>
      </c>
      <c r="U69" s="258" t="b">
        <v>0</v>
      </c>
      <c r="V69" s="258" t="b">
        <v>0</v>
      </c>
      <c r="W69" s="205" t="s">
        <v>536</v>
      </c>
      <c r="X69" s="258" t="b">
        <v>0</v>
      </c>
      <c r="Z69" s="76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</row>
    <row r="70" spans="1:70" s="138" customFormat="1" x14ac:dyDescent="0.3">
      <c r="A70" s="76"/>
      <c r="B70" s="73">
        <v>66</v>
      </c>
      <c r="C70" s="130" t="s">
        <v>365</v>
      </c>
      <c r="D70" s="131" t="s">
        <v>366</v>
      </c>
      <c r="E70" s="131" t="s">
        <v>249</v>
      </c>
      <c r="F70" s="131" t="s">
        <v>231</v>
      </c>
      <c r="G70" s="131"/>
      <c r="H70" s="131" t="s">
        <v>251</v>
      </c>
      <c r="I70" s="132" t="s">
        <v>16</v>
      </c>
      <c r="J70" s="258" t="b">
        <v>0</v>
      </c>
      <c r="K70" s="207"/>
      <c r="L70" s="258" t="b">
        <v>0</v>
      </c>
      <c r="M70" s="258" t="b">
        <v>0</v>
      </c>
      <c r="N70" s="258" t="b">
        <v>0</v>
      </c>
      <c r="O70" s="258" t="b">
        <v>0</v>
      </c>
      <c r="P70" s="207"/>
      <c r="Q70" s="76"/>
      <c r="R70" s="258" t="b">
        <v>0</v>
      </c>
      <c r="S70" s="200" t="s">
        <v>536</v>
      </c>
      <c r="T70" s="258" t="b">
        <v>0</v>
      </c>
      <c r="U70" s="258" t="b">
        <v>0</v>
      </c>
      <c r="V70" s="258" t="b">
        <v>0</v>
      </c>
      <c r="W70" s="205" t="s">
        <v>536</v>
      </c>
      <c r="X70" s="258" t="b">
        <v>0</v>
      </c>
      <c r="Z70" s="76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</row>
    <row r="71" spans="1:70" s="138" customFormat="1" x14ac:dyDescent="0.3">
      <c r="A71" s="76"/>
      <c r="B71" s="73">
        <v>67</v>
      </c>
      <c r="C71" s="157" t="s">
        <v>367</v>
      </c>
      <c r="D71" s="131" t="s">
        <v>368</v>
      </c>
      <c r="E71" s="131" t="s">
        <v>249</v>
      </c>
      <c r="F71" s="131" t="s">
        <v>231</v>
      </c>
      <c r="G71" s="131"/>
      <c r="H71" s="131" t="s">
        <v>251</v>
      </c>
      <c r="I71" s="132" t="s">
        <v>16</v>
      </c>
      <c r="J71" s="258" t="b">
        <v>0</v>
      </c>
      <c r="K71" s="207"/>
      <c r="L71" s="258" t="b">
        <v>0</v>
      </c>
      <c r="M71" s="258" t="b">
        <v>0</v>
      </c>
      <c r="N71" s="258" t="b">
        <v>0</v>
      </c>
      <c r="O71" s="258" t="b">
        <v>0</v>
      </c>
      <c r="P71" s="207"/>
      <c r="Q71" s="76"/>
      <c r="R71" s="258" t="b">
        <v>0</v>
      </c>
      <c r="S71" s="200" t="s">
        <v>536</v>
      </c>
      <c r="T71" s="258" t="b">
        <v>0</v>
      </c>
      <c r="U71" s="258" t="b">
        <v>0</v>
      </c>
      <c r="V71" s="258" t="b">
        <v>0</v>
      </c>
      <c r="W71" s="205" t="s">
        <v>536</v>
      </c>
      <c r="X71" s="258" t="b">
        <v>0</v>
      </c>
      <c r="Z71" s="76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</row>
    <row r="72" spans="1:70" s="138" customFormat="1" x14ac:dyDescent="0.3">
      <c r="A72" s="76"/>
      <c r="B72" s="197">
        <v>68</v>
      </c>
      <c r="C72" s="130" t="s">
        <v>369</v>
      </c>
      <c r="D72" s="131" t="s">
        <v>370</v>
      </c>
      <c r="E72" s="131" t="s">
        <v>249</v>
      </c>
      <c r="F72" s="131" t="s">
        <v>231</v>
      </c>
      <c r="G72" s="131"/>
      <c r="H72" s="131" t="s">
        <v>251</v>
      </c>
      <c r="I72" s="132" t="s">
        <v>16</v>
      </c>
      <c r="J72" s="258" t="b">
        <v>0</v>
      </c>
      <c r="K72" s="207"/>
      <c r="L72" s="258" t="b">
        <v>0</v>
      </c>
      <c r="M72" s="258" t="b">
        <v>0</v>
      </c>
      <c r="N72" s="258" t="b">
        <v>0</v>
      </c>
      <c r="O72" s="258" t="b">
        <v>0</v>
      </c>
      <c r="P72" s="207"/>
      <c r="Q72" s="76"/>
      <c r="R72" s="258" t="b">
        <v>0</v>
      </c>
      <c r="S72" s="200" t="s">
        <v>536</v>
      </c>
      <c r="T72" s="258" t="b">
        <v>0</v>
      </c>
      <c r="U72" s="258" t="b">
        <v>0</v>
      </c>
      <c r="V72" s="258" t="b">
        <v>0</v>
      </c>
      <c r="W72" s="205" t="s">
        <v>536</v>
      </c>
      <c r="X72" s="258" t="b">
        <v>0</v>
      </c>
      <c r="Z72" s="76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</row>
    <row r="73" spans="1:70" s="139" customFormat="1" x14ac:dyDescent="0.3">
      <c r="A73" s="76"/>
      <c r="B73" s="73">
        <v>69</v>
      </c>
      <c r="C73" s="157" t="s">
        <v>371</v>
      </c>
      <c r="D73" s="131" t="s">
        <v>372</v>
      </c>
      <c r="E73" s="131" t="s">
        <v>249</v>
      </c>
      <c r="F73" s="131" t="s">
        <v>231</v>
      </c>
      <c r="G73" s="131"/>
      <c r="H73" s="131" t="s">
        <v>251</v>
      </c>
      <c r="I73" s="132" t="s">
        <v>16</v>
      </c>
      <c r="J73" s="258" t="b">
        <v>0</v>
      </c>
      <c r="K73" s="207"/>
      <c r="L73" s="258" t="b">
        <v>0</v>
      </c>
      <c r="M73" s="258" t="b">
        <v>0</v>
      </c>
      <c r="N73" s="258" t="b">
        <v>0</v>
      </c>
      <c r="O73" s="258" t="b">
        <v>0</v>
      </c>
      <c r="P73" s="207"/>
      <c r="Q73" s="76"/>
      <c r="R73" s="258" t="b">
        <v>0</v>
      </c>
      <c r="S73" s="200" t="s">
        <v>536</v>
      </c>
      <c r="T73" s="258" t="b">
        <v>0</v>
      </c>
      <c r="U73" s="258" t="b">
        <v>0</v>
      </c>
      <c r="V73" s="258" t="b">
        <v>0</v>
      </c>
      <c r="W73" s="205" t="s">
        <v>536</v>
      </c>
      <c r="X73" s="258" t="b">
        <v>0</v>
      </c>
      <c r="Z73" s="169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 s="169"/>
      <c r="AW73" s="169"/>
      <c r="AX73" s="169"/>
      <c r="AY73" s="169"/>
      <c r="AZ73" s="169"/>
      <c r="BA73" s="169"/>
      <c r="BB73" s="169"/>
      <c r="BC73" s="169"/>
      <c r="BD73" s="169"/>
      <c r="BE73" s="169"/>
      <c r="BF73" s="169"/>
      <c r="BG73" s="169"/>
      <c r="BH73" s="169"/>
      <c r="BI73" s="169"/>
      <c r="BJ73" s="169"/>
      <c r="BK73" s="169"/>
      <c r="BL73" s="169"/>
      <c r="BM73" s="169"/>
      <c r="BN73" s="169"/>
      <c r="BO73" s="169"/>
      <c r="BP73" s="169"/>
      <c r="BQ73" s="169"/>
      <c r="BR73" s="169"/>
    </row>
    <row r="74" spans="1:70" s="139" customFormat="1" x14ac:dyDescent="0.3">
      <c r="A74" s="76"/>
      <c r="B74" s="73">
        <v>70</v>
      </c>
      <c r="C74" s="157" t="s">
        <v>373</v>
      </c>
      <c r="D74" s="131" t="s">
        <v>374</v>
      </c>
      <c r="E74" s="131" t="s">
        <v>249</v>
      </c>
      <c r="F74" s="131" t="s">
        <v>231</v>
      </c>
      <c r="G74" s="131"/>
      <c r="H74" s="131" t="s">
        <v>251</v>
      </c>
      <c r="I74" s="132" t="s">
        <v>16</v>
      </c>
      <c r="J74" s="258" t="b">
        <v>0</v>
      </c>
      <c r="K74" s="207"/>
      <c r="L74" s="258" t="b">
        <v>0</v>
      </c>
      <c r="M74" s="258" t="b">
        <v>0</v>
      </c>
      <c r="N74" s="258" t="b">
        <v>0</v>
      </c>
      <c r="O74" s="258" t="b">
        <v>0</v>
      </c>
      <c r="P74" s="207"/>
      <c r="Q74" s="76"/>
      <c r="R74" s="258" t="b">
        <v>0</v>
      </c>
      <c r="S74" s="200" t="s">
        <v>536</v>
      </c>
      <c r="T74" s="258" t="b">
        <v>0</v>
      </c>
      <c r="U74" s="258" t="b">
        <v>0</v>
      </c>
      <c r="V74" s="258" t="b">
        <v>0</v>
      </c>
      <c r="W74" s="205" t="s">
        <v>536</v>
      </c>
      <c r="X74" s="258" t="b">
        <v>0</v>
      </c>
      <c r="Z74" s="169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 s="169"/>
      <c r="AW74" s="169"/>
      <c r="AX74" s="169"/>
      <c r="AY74" s="169"/>
      <c r="AZ74" s="169"/>
      <c r="BA74" s="169"/>
      <c r="BB74" s="169"/>
      <c r="BC74" s="169"/>
      <c r="BD74" s="169"/>
      <c r="BE74" s="169"/>
      <c r="BF74" s="169"/>
      <c r="BG74" s="169"/>
      <c r="BH74" s="169"/>
      <c r="BI74" s="169"/>
      <c r="BJ74" s="169"/>
      <c r="BK74" s="169"/>
      <c r="BL74" s="169"/>
      <c r="BM74" s="169"/>
      <c r="BN74" s="169"/>
      <c r="BO74" s="169"/>
      <c r="BP74" s="169"/>
      <c r="BQ74" s="169"/>
      <c r="BR74" s="169"/>
    </row>
    <row r="75" spans="1:70" s="139" customFormat="1" x14ac:dyDescent="0.3">
      <c r="A75" s="76"/>
      <c r="B75" s="197">
        <v>71</v>
      </c>
      <c r="C75" s="157" t="s">
        <v>375</v>
      </c>
      <c r="D75" s="131" t="s">
        <v>376</v>
      </c>
      <c r="E75" s="131" t="s">
        <v>249</v>
      </c>
      <c r="F75" s="131" t="s">
        <v>231</v>
      </c>
      <c r="G75" s="131"/>
      <c r="H75" s="131" t="s">
        <v>251</v>
      </c>
      <c r="I75" s="132" t="s">
        <v>16</v>
      </c>
      <c r="J75" s="258" t="b">
        <v>0</v>
      </c>
      <c r="K75" s="207"/>
      <c r="L75" s="258" t="b">
        <v>0</v>
      </c>
      <c r="M75" s="258" t="b">
        <v>0</v>
      </c>
      <c r="N75" s="258" t="b">
        <v>0</v>
      </c>
      <c r="O75" s="258" t="b">
        <v>0</v>
      </c>
      <c r="P75" s="207"/>
      <c r="Q75" s="76"/>
      <c r="R75" s="258" t="b">
        <v>0</v>
      </c>
      <c r="S75" s="200" t="s">
        <v>536</v>
      </c>
      <c r="T75" s="258" t="b">
        <v>0</v>
      </c>
      <c r="U75" s="258" t="b">
        <v>0</v>
      </c>
      <c r="V75" s="258" t="b">
        <v>0</v>
      </c>
      <c r="W75" s="205" t="s">
        <v>536</v>
      </c>
      <c r="X75" s="258" t="b">
        <v>0</v>
      </c>
      <c r="Z75" s="169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 s="169"/>
      <c r="AW75" s="169"/>
      <c r="AX75" s="169"/>
      <c r="AY75" s="169"/>
      <c r="AZ75" s="169"/>
      <c r="BA75" s="169"/>
      <c r="BB75" s="169"/>
      <c r="BC75" s="169"/>
      <c r="BD75" s="169"/>
      <c r="BE75" s="169"/>
      <c r="BF75" s="169"/>
      <c r="BG75" s="169"/>
      <c r="BH75" s="169"/>
      <c r="BI75" s="169"/>
      <c r="BJ75" s="169"/>
      <c r="BK75" s="169"/>
      <c r="BL75" s="169"/>
      <c r="BM75" s="169"/>
      <c r="BN75" s="169"/>
      <c r="BO75" s="169"/>
      <c r="BP75" s="169"/>
      <c r="BQ75" s="169"/>
      <c r="BR75" s="169"/>
    </row>
    <row r="76" spans="1:70" s="139" customFormat="1" x14ac:dyDescent="0.3">
      <c r="A76" s="76"/>
      <c r="B76" s="73">
        <v>72</v>
      </c>
      <c r="C76" s="157" t="s">
        <v>377</v>
      </c>
      <c r="D76" s="131" t="s">
        <v>378</v>
      </c>
      <c r="E76" s="131" t="s">
        <v>249</v>
      </c>
      <c r="F76" s="131" t="s">
        <v>231</v>
      </c>
      <c r="G76" s="131"/>
      <c r="H76" s="131" t="s">
        <v>251</v>
      </c>
      <c r="I76" s="132" t="s">
        <v>233</v>
      </c>
      <c r="J76" s="258" t="b">
        <v>0</v>
      </c>
      <c r="K76" s="207"/>
      <c r="L76" s="258" t="b">
        <v>0</v>
      </c>
      <c r="M76" s="258" t="b">
        <v>0</v>
      </c>
      <c r="N76" s="258" t="b">
        <v>0</v>
      </c>
      <c r="O76" s="258" t="b">
        <v>0</v>
      </c>
      <c r="P76" s="207"/>
      <c r="Q76" s="76"/>
      <c r="R76" s="258" t="b">
        <v>0</v>
      </c>
      <c r="S76" s="131">
        <v>16</v>
      </c>
      <c r="T76" s="258" t="b">
        <v>0</v>
      </c>
      <c r="U76" s="258" t="b">
        <v>0</v>
      </c>
      <c r="V76" s="258" t="b">
        <v>0</v>
      </c>
      <c r="W76" s="163"/>
      <c r="X76" s="258" t="b">
        <v>0</v>
      </c>
      <c r="Z76" s="169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 s="169"/>
      <c r="AW76" s="169"/>
      <c r="AX76" s="169"/>
      <c r="AY76" s="169"/>
      <c r="AZ76" s="169"/>
      <c r="BA76" s="169"/>
      <c r="BB76" s="169"/>
      <c r="BC76" s="169"/>
      <c r="BD76" s="169"/>
      <c r="BE76" s="169"/>
      <c r="BF76" s="169"/>
      <c r="BG76" s="169"/>
      <c r="BH76" s="169"/>
      <c r="BI76" s="169"/>
      <c r="BJ76" s="169"/>
      <c r="BK76" s="169"/>
      <c r="BL76" s="169"/>
      <c r="BM76" s="169"/>
      <c r="BN76" s="169"/>
      <c r="BO76" s="169"/>
      <c r="BP76" s="169"/>
      <c r="BQ76" s="169"/>
      <c r="BR76" s="169"/>
    </row>
    <row r="77" spans="1:70" s="139" customFormat="1" x14ac:dyDescent="0.3">
      <c r="A77" s="76"/>
      <c r="B77" s="73">
        <v>73</v>
      </c>
      <c r="C77" s="157" t="s">
        <v>379</v>
      </c>
      <c r="D77" s="131" t="s">
        <v>380</v>
      </c>
      <c r="E77" s="131" t="s">
        <v>249</v>
      </c>
      <c r="F77" s="131" t="s">
        <v>231</v>
      </c>
      <c r="G77" s="131"/>
      <c r="H77" s="131" t="s">
        <v>251</v>
      </c>
      <c r="I77" s="132" t="s">
        <v>233</v>
      </c>
      <c r="J77" s="258" t="b">
        <v>0</v>
      </c>
      <c r="K77" s="207"/>
      <c r="L77" s="258" t="b">
        <v>0</v>
      </c>
      <c r="M77" s="258" t="b">
        <v>0</v>
      </c>
      <c r="N77" s="258" t="b">
        <v>0</v>
      </c>
      <c r="O77" s="258" t="b">
        <v>0</v>
      </c>
      <c r="P77" s="207"/>
      <c r="Q77" s="76"/>
      <c r="R77" s="258" t="b">
        <v>0</v>
      </c>
      <c r="S77" s="131">
        <v>24</v>
      </c>
      <c r="T77" s="258" t="b">
        <v>0</v>
      </c>
      <c r="U77" s="258" t="b">
        <v>0</v>
      </c>
      <c r="V77" s="258" t="b">
        <v>0</v>
      </c>
      <c r="W77" s="163"/>
      <c r="X77" s="258" t="b">
        <v>0</v>
      </c>
      <c r="Z77" s="169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 s="169"/>
      <c r="AW77" s="169"/>
      <c r="AX77" s="169"/>
      <c r="AY77" s="169"/>
      <c r="AZ77" s="169"/>
      <c r="BA77" s="169"/>
      <c r="BB77" s="169"/>
      <c r="BC77" s="169"/>
      <c r="BD77" s="169"/>
      <c r="BE77" s="169"/>
      <c r="BF77" s="169"/>
      <c r="BG77" s="169"/>
      <c r="BH77" s="169"/>
      <c r="BI77" s="169"/>
      <c r="BJ77" s="169"/>
      <c r="BK77" s="169"/>
      <c r="BL77" s="169"/>
      <c r="BM77" s="169"/>
      <c r="BN77" s="169"/>
      <c r="BO77" s="169"/>
      <c r="BP77" s="169"/>
      <c r="BQ77" s="169"/>
      <c r="BR77" s="169"/>
    </row>
    <row r="78" spans="1:70" s="139" customFormat="1" x14ac:dyDescent="0.3">
      <c r="A78" s="76"/>
      <c r="B78" s="197">
        <v>74</v>
      </c>
      <c r="C78" s="157" t="s">
        <v>381</v>
      </c>
      <c r="D78" s="131" t="s">
        <v>382</v>
      </c>
      <c r="E78" s="131" t="s">
        <v>249</v>
      </c>
      <c r="F78" s="131" t="s">
        <v>231</v>
      </c>
      <c r="G78" s="131"/>
      <c r="H78" s="131" t="s">
        <v>251</v>
      </c>
      <c r="I78" s="132" t="s">
        <v>233</v>
      </c>
      <c r="J78" s="258" t="b">
        <v>0</v>
      </c>
      <c r="K78" s="207"/>
      <c r="L78" s="258" t="b">
        <v>0</v>
      </c>
      <c r="M78" s="258" t="b">
        <v>0</v>
      </c>
      <c r="N78" s="258" t="b">
        <v>0</v>
      </c>
      <c r="O78" s="258" t="b">
        <v>0</v>
      </c>
      <c r="P78" s="207"/>
      <c r="Q78" s="76"/>
      <c r="R78" s="258" t="b">
        <v>0</v>
      </c>
      <c r="S78" s="131">
        <v>24</v>
      </c>
      <c r="T78" s="258" t="b">
        <v>0</v>
      </c>
      <c r="U78" s="258" t="b">
        <v>0</v>
      </c>
      <c r="V78" s="258" t="b">
        <v>0</v>
      </c>
      <c r="W78" s="163" t="s">
        <v>647</v>
      </c>
      <c r="X78" s="258" t="b">
        <v>0</v>
      </c>
      <c r="Z78" s="169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 s="169"/>
      <c r="AW78" s="169"/>
      <c r="AX78" s="169"/>
      <c r="AY78" s="169"/>
      <c r="AZ78" s="169"/>
      <c r="BA78" s="169"/>
      <c r="BB78" s="169"/>
      <c r="BC78" s="169"/>
      <c r="BD78" s="169"/>
      <c r="BE78" s="169"/>
      <c r="BF78" s="169"/>
      <c r="BG78" s="169"/>
      <c r="BH78" s="169"/>
      <c r="BI78" s="169"/>
      <c r="BJ78" s="169"/>
      <c r="BK78" s="169"/>
      <c r="BL78" s="169"/>
      <c r="BM78" s="169"/>
      <c r="BN78" s="169"/>
      <c r="BO78" s="169"/>
      <c r="BP78" s="169"/>
      <c r="BQ78" s="169"/>
      <c r="BR78" s="169"/>
    </row>
    <row r="79" spans="1:70" s="139" customFormat="1" x14ac:dyDescent="0.3">
      <c r="A79" s="76"/>
      <c r="B79" s="73">
        <v>75</v>
      </c>
      <c r="C79" s="157" t="s">
        <v>383</v>
      </c>
      <c r="D79" s="131" t="s">
        <v>384</v>
      </c>
      <c r="E79" s="131" t="s">
        <v>249</v>
      </c>
      <c r="F79" s="131" t="s">
        <v>231</v>
      </c>
      <c r="G79" s="131"/>
      <c r="H79" s="131" t="s">
        <v>251</v>
      </c>
      <c r="I79" s="132" t="s">
        <v>233</v>
      </c>
      <c r="J79" s="258" t="b">
        <v>0</v>
      </c>
      <c r="K79" s="207"/>
      <c r="L79" s="258" t="b">
        <v>0</v>
      </c>
      <c r="M79" s="258" t="b">
        <v>0</v>
      </c>
      <c r="N79" s="258" t="b">
        <v>0</v>
      </c>
      <c r="O79" s="258" t="b">
        <v>0</v>
      </c>
      <c r="P79" s="207"/>
      <c r="Q79" s="76"/>
      <c r="R79" s="258" t="b">
        <v>0</v>
      </c>
      <c r="S79" s="131">
        <v>24</v>
      </c>
      <c r="T79" s="258" t="b">
        <v>0</v>
      </c>
      <c r="U79" s="258" t="b">
        <v>0</v>
      </c>
      <c r="V79" s="258" t="b">
        <v>0</v>
      </c>
      <c r="W79" s="163" t="s">
        <v>647</v>
      </c>
      <c r="X79" s="258" t="b">
        <v>0</v>
      </c>
      <c r="Z79" s="16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 s="169"/>
      <c r="AW79" s="169"/>
      <c r="AX79" s="169"/>
      <c r="AY79" s="169"/>
      <c r="AZ79" s="169"/>
      <c r="BA79" s="169"/>
      <c r="BB79" s="169"/>
      <c r="BC79" s="169"/>
      <c r="BD79" s="169"/>
      <c r="BE79" s="169"/>
      <c r="BF79" s="169"/>
      <c r="BG79" s="169"/>
      <c r="BH79" s="169"/>
      <c r="BI79" s="169"/>
      <c r="BJ79" s="169"/>
      <c r="BK79" s="169"/>
      <c r="BL79" s="169"/>
      <c r="BM79" s="169"/>
      <c r="BN79" s="169"/>
      <c r="BO79" s="169"/>
      <c r="BP79" s="169"/>
      <c r="BQ79" s="169"/>
      <c r="BR79" s="169"/>
    </row>
    <row r="80" spans="1:70" s="139" customFormat="1" x14ac:dyDescent="0.3">
      <c r="A80" s="76"/>
      <c r="B80" s="73">
        <v>76</v>
      </c>
      <c r="C80" s="130" t="s">
        <v>385</v>
      </c>
      <c r="D80" s="131" t="s">
        <v>386</v>
      </c>
      <c r="E80" s="131" t="s">
        <v>249</v>
      </c>
      <c r="F80" s="131" t="s">
        <v>231</v>
      </c>
      <c r="G80" s="131"/>
      <c r="H80" s="131" t="s">
        <v>251</v>
      </c>
      <c r="I80" s="132" t="s">
        <v>16</v>
      </c>
      <c r="J80" s="258" t="b">
        <v>0</v>
      </c>
      <c r="K80" s="207"/>
      <c r="L80" s="258" t="b">
        <v>0</v>
      </c>
      <c r="M80" s="258" t="b">
        <v>0</v>
      </c>
      <c r="N80" s="258" t="b">
        <v>0</v>
      </c>
      <c r="O80" s="258" t="b">
        <v>0</v>
      </c>
      <c r="P80" s="207"/>
      <c r="Q80" s="76"/>
      <c r="R80" s="258" t="b">
        <v>0</v>
      </c>
      <c r="S80" s="200" t="s">
        <v>536</v>
      </c>
      <c r="T80" s="258" t="b">
        <v>0</v>
      </c>
      <c r="U80" s="258" t="b">
        <v>0</v>
      </c>
      <c r="V80" s="258" t="b">
        <v>0</v>
      </c>
      <c r="W80" s="205" t="s">
        <v>536</v>
      </c>
      <c r="X80" s="258" t="b">
        <v>0</v>
      </c>
      <c r="Z80" s="169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 s="169"/>
      <c r="AW80" s="169"/>
      <c r="AX80" s="169"/>
      <c r="AY80" s="169"/>
      <c r="AZ80" s="169"/>
      <c r="BA80" s="169"/>
      <c r="BB80" s="169"/>
      <c r="BC80" s="169"/>
      <c r="BD80" s="169"/>
      <c r="BE80" s="169"/>
      <c r="BF80" s="169"/>
      <c r="BG80" s="169"/>
      <c r="BH80" s="169"/>
      <c r="BI80" s="169"/>
      <c r="BJ80" s="169"/>
      <c r="BK80" s="169"/>
      <c r="BL80" s="169"/>
      <c r="BM80" s="169"/>
      <c r="BN80" s="169"/>
      <c r="BO80" s="169"/>
      <c r="BP80" s="169"/>
      <c r="BQ80" s="169"/>
      <c r="BR80" s="169"/>
    </row>
    <row r="81" spans="1:70" s="139" customFormat="1" x14ac:dyDescent="0.3">
      <c r="A81" s="76"/>
      <c r="B81" s="197">
        <v>77</v>
      </c>
      <c r="C81" s="130" t="s">
        <v>387</v>
      </c>
      <c r="D81" s="131" t="s">
        <v>388</v>
      </c>
      <c r="E81" s="131" t="s">
        <v>249</v>
      </c>
      <c r="F81" s="131" t="s">
        <v>231</v>
      </c>
      <c r="G81" s="131"/>
      <c r="H81" s="131" t="s">
        <v>251</v>
      </c>
      <c r="I81" s="132" t="s">
        <v>16</v>
      </c>
      <c r="J81" s="258" t="b">
        <v>0</v>
      </c>
      <c r="K81" s="207"/>
      <c r="L81" s="258" t="b">
        <v>0</v>
      </c>
      <c r="M81" s="258" t="b">
        <v>0</v>
      </c>
      <c r="N81" s="258" t="b">
        <v>0</v>
      </c>
      <c r="O81" s="258" t="b">
        <v>0</v>
      </c>
      <c r="P81" s="207"/>
      <c r="Q81" s="76"/>
      <c r="R81" s="258" t="b">
        <v>0</v>
      </c>
      <c r="S81" s="200" t="s">
        <v>536</v>
      </c>
      <c r="T81" s="258" t="b">
        <v>0</v>
      </c>
      <c r="U81" s="258" t="b">
        <v>0</v>
      </c>
      <c r="V81" s="258" t="b">
        <v>0</v>
      </c>
      <c r="W81" s="205" t="s">
        <v>536</v>
      </c>
      <c r="X81" s="258" t="b">
        <v>0</v>
      </c>
      <c r="Z81" s="169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 s="169"/>
      <c r="AW81" s="169"/>
      <c r="AX81" s="169"/>
      <c r="AY81" s="169"/>
      <c r="AZ81" s="169"/>
      <c r="BA81" s="169"/>
      <c r="BB81" s="169"/>
      <c r="BC81" s="169"/>
      <c r="BD81" s="169"/>
      <c r="BE81" s="169"/>
      <c r="BF81" s="169"/>
      <c r="BG81" s="169"/>
      <c r="BH81" s="169"/>
      <c r="BI81" s="169"/>
      <c r="BJ81" s="169"/>
      <c r="BK81" s="169"/>
      <c r="BL81" s="169"/>
      <c r="BM81" s="169"/>
      <c r="BN81" s="169"/>
      <c r="BO81" s="169"/>
      <c r="BP81" s="169"/>
      <c r="BQ81" s="169"/>
      <c r="BR81" s="169"/>
    </row>
    <row r="82" spans="1:70" s="139" customFormat="1" x14ac:dyDescent="0.3">
      <c r="A82" s="76"/>
      <c r="B82" s="73">
        <v>78</v>
      </c>
      <c r="C82" s="130" t="s">
        <v>389</v>
      </c>
      <c r="D82" s="131" t="s">
        <v>390</v>
      </c>
      <c r="E82" s="131" t="s">
        <v>249</v>
      </c>
      <c r="F82" s="131" t="s">
        <v>231</v>
      </c>
      <c r="G82" s="131"/>
      <c r="H82" s="131" t="s">
        <v>251</v>
      </c>
      <c r="I82" s="132" t="s">
        <v>16</v>
      </c>
      <c r="J82" s="258" t="b">
        <v>0</v>
      </c>
      <c r="K82" s="207"/>
      <c r="L82" s="258" t="b">
        <v>0</v>
      </c>
      <c r="M82" s="258" t="b">
        <v>0</v>
      </c>
      <c r="N82" s="258" t="b">
        <v>0</v>
      </c>
      <c r="O82" s="258" t="b">
        <v>0</v>
      </c>
      <c r="P82" s="207"/>
      <c r="Q82" s="76"/>
      <c r="R82" s="258" t="b">
        <v>0</v>
      </c>
      <c r="S82" s="200" t="s">
        <v>536</v>
      </c>
      <c r="T82" s="258" t="b">
        <v>0</v>
      </c>
      <c r="U82" s="258" t="b">
        <v>0</v>
      </c>
      <c r="V82" s="258" t="b">
        <v>0</v>
      </c>
      <c r="W82" s="205" t="s">
        <v>536</v>
      </c>
      <c r="X82" s="258" t="b">
        <v>0</v>
      </c>
      <c r="Z82" s="169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</row>
    <row r="83" spans="1:70" s="139" customFormat="1" x14ac:dyDescent="0.3">
      <c r="A83" s="76"/>
      <c r="B83" s="73">
        <v>79</v>
      </c>
      <c r="C83" s="130" t="s">
        <v>391</v>
      </c>
      <c r="D83" s="131" t="s">
        <v>392</v>
      </c>
      <c r="E83" s="131" t="s">
        <v>249</v>
      </c>
      <c r="F83" s="131" t="s">
        <v>231</v>
      </c>
      <c r="G83" s="131"/>
      <c r="H83" s="131" t="s">
        <v>251</v>
      </c>
      <c r="I83" s="132" t="s">
        <v>16</v>
      </c>
      <c r="J83" s="258" t="b">
        <v>0</v>
      </c>
      <c r="K83" s="207"/>
      <c r="L83" s="258" t="b">
        <v>0</v>
      </c>
      <c r="M83" s="258" t="b">
        <v>0</v>
      </c>
      <c r="N83" s="258" t="b">
        <v>0</v>
      </c>
      <c r="O83" s="258" t="b">
        <v>0</v>
      </c>
      <c r="P83" s="207"/>
      <c r="Q83" s="76"/>
      <c r="R83" s="258" t="b">
        <v>0</v>
      </c>
      <c r="S83" s="200" t="s">
        <v>536</v>
      </c>
      <c r="T83" s="258" t="b">
        <v>0</v>
      </c>
      <c r="U83" s="258" t="b">
        <v>0</v>
      </c>
      <c r="V83" s="258" t="b">
        <v>0</v>
      </c>
      <c r="W83" s="205" t="s">
        <v>536</v>
      </c>
      <c r="X83" s="258" t="b">
        <v>0</v>
      </c>
      <c r="Z83" s="169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 s="169"/>
      <c r="AW83" s="169"/>
      <c r="AX83" s="169"/>
      <c r="AY83" s="169"/>
      <c r="AZ83" s="169"/>
      <c r="BA83" s="169"/>
      <c r="BB83" s="169"/>
      <c r="BC83" s="169"/>
      <c r="BD83" s="169"/>
      <c r="BE83" s="169"/>
      <c r="BF83" s="169"/>
      <c r="BG83" s="169"/>
      <c r="BH83" s="169"/>
      <c r="BI83" s="169"/>
      <c r="BJ83" s="169"/>
      <c r="BK83" s="169"/>
      <c r="BL83" s="169"/>
      <c r="BM83" s="169"/>
      <c r="BN83" s="169"/>
      <c r="BO83" s="169"/>
      <c r="BP83" s="169"/>
      <c r="BQ83" s="169"/>
      <c r="BR83" s="169"/>
    </row>
    <row r="84" spans="1:70" s="139" customFormat="1" x14ac:dyDescent="0.3">
      <c r="A84" s="76"/>
      <c r="B84" s="197">
        <v>80</v>
      </c>
      <c r="C84" s="157" t="s">
        <v>393</v>
      </c>
      <c r="D84" s="131" t="s">
        <v>394</v>
      </c>
      <c r="E84" s="131" t="s">
        <v>249</v>
      </c>
      <c r="F84" s="131" t="s">
        <v>231</v>
      </c>
      <c r="G84" s="131"/>
      <c r="H84" s="131" t="s">
        <v>251</v>
      </c>
      <c r="I84" s="132" t="s">
        <v>16</v>
      </c>
      <c r="J84" s="258" t="b">
        <v>0</v>
      </c>
      <c r="K84" s="207"/>
      <c r="L84" s="258" t="b">
        <v>0</v>
      </c>
      <c r="M84" s="258" t="b">
        <v>0</v>
      </c>
      <c r="N84" s="258" t="b">
        <v>0</v>
      </c>
      <c r="O84" s="258" t="b">
        <v>0</v>
      </c>
      <c r="P84" s="207"/>
      <c r="Q84" s="76"/>
      <c r="R84" s="258" t="b">
        <v>0</v>
      </c>
      <c r="S84" s="200" t="s">
        <v>536</v>
      </c>
      <c r="T84" s="258" t="b">
        <v>0</v>
      </c>
      <c r="U84" s="258" t="b">
        <v>0</v>
      </c>
      <c r="V84" s="258" t="b">
        <v>0</v>
      </c>
      <c r="W84" s="205" t="s">
        <v>536</v>
      </c>
      <c r="X84" s="258" t="b">
        <v>0</v>
      </c>
      <c r="Z84" s="169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 s="169"/>
      <c r="AW84" s="169"/>
      <c r="AX84" s="169"/>
      <c r="AY84" s="169"/>
      <c r="AZ84" s="169"/>
      <c r="BA84" s="169"/>
      <c r="BB84" s="169"/>
      <c r="BC84" s="169"/>
      <c r="BD84" s="169"/>
      <c r="BE84" s="169"/>
      <c r="BF84" s="169"/>
      <c r="BG84" s="169"/>
      <c r="BH84" s="169"/>
      <c r="BI84" s="169"/>
      <c r="BJ84" s="169"/>
      <c r="BK84" s="169"/>
      <c r="BL84" s="169"/>
      <c r="BM84" s="169"/>
      <c r="BN84" s="169"/>
      <c r="BO84" s="169"/>
      <c r="BP84" s="169"/>
      <c r="BQ84" s="169"/>
      <c r="BR84" s="169"/>
    </row>
    <row r="85" spans="1:70" s="139" customFormat="1" x14ac:dyDescent="0.3">
      <c r="A85" s="76"/>
      <c r="B85" s="73">
        <v>81</v>
      </c>
      <c r="C85" s="130" t="s">
        <v>395</v>
      </c>
      <c r="D85" s="131" t="s">
        <v>237</v>
      </c>
      <c r="E85" s="131" t="s">
        <v>249</v>
      </c>
      <c r="F85" s="131" t="s">
        <v>231</v>
      </c>
      <c r="G85" s="131"/>
      <c r="H85" s="131" t="s">
        <v>251</v>
      </c>
      <c r="I85" s="132" t="s">
        <v>16</v>
      </c>
      <c r="J85" s="258" t="b">
        <v>0</v>
      </c>
      <c r="K85" s="207"/>
      <c r="L85" s="258" t="b">
        <v>0</v>
      </c>
      <c r="M85" s="258" t="b">
        <v>0</v>
      </c>
      <c r="N85" s="258" t="b">
        <v>0</v>
      </c>
      <c r="O85" s="258" t="b">
        <v>0</v>
      </c>
      <c r="P85" s="207"/>
      <c r="Q85" s="76"/>
      <c r="R85" s="258" t="b">
        <v>0</v>
      </c>
      <c r="S85" s="200" t="s">
        <v>536</v>
      </c>
      <c r="T85" s="258" t="b">
        <v>0</v>
      </c>
      <c r="U85" s="258" t="b">
        <v>0</v>
      </c>
      <c r="V85" s="258" t="b">
        <v>0</v>
      </c>
      <c r="W85" s="205" t="s">
        <v>536</v>
      </c>
      <c r="X85" s="258" t="b">
        <v>0</v>
      </c>
      <c r="Z85" s="169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 s="169"/>
      <c r="AW85" s="169"/>
      <c r="AX85" s="169"/>
      <c r="AY85" s="169"/>
      <c r="AZ85" s="169"/>
      <c r="BA85" s="169"/>
      <c r="BB85" s="169"/>
      <c r="BC85" s="169"/>
      <c r="BD85" s="169"/>
      <c r="BE85" s="169"/>
      <c r="BF85" s="169"/>
      <c r="BG85" s="169"/>
      <c r="BH85" s="169"/>
      <c r="BI85" s="169"/>
      <c r="BJ85" s="169"/>
      <c r="BK85" s="169"/>
      <c r="BL85" s="169"/>
      <c r="BM85" s="169"/>
      <c r="BN85" s="169"/>
      <c r="BO85" s="169"/>
      <c r="BP85" s="169"/>
      <c r="BQ85" s="169"/>
      <c r="BR85" s="169"/>
    </row>
    <row r="86" spans="1:70" s="139" customFormat="1" x14ac:dyDescent="0.3">
      <c r="A86" s="76"/>
      <c r="B86" s="73">
        <v>82</v>
      </c>
      <c r="C86" s="163" t="s">
        <v>396</v>
      </c>
      <c r="D86" s="131" t="s">
        <v>239</v>
      </c>
      <c r="E86" s="131" t="s">
        <v>249</v>
      </c>
      <c r="F86" s="131" t="s">
        <v>231</v>
      </c>
      <c r="G86" s="131"/>
      <c r="H86" s="131" t="s">
        <v>251</v>
      </c>
      <c r="I86" s="132" t="s">
        <v>16</v>
      </c>
      <c r="J86" s="258" t="b">
        <v>0</v>
      </c>
      <c r="K86" s="207"/>
      <c r="L86" s="258" t="b">
        <v>0</v>
      </c>
      <c r="M86" s="258" t="b">
        <v>0</v>
      </c>
      <c r="N86" s="258" t="b">
        <v>0</v>
      </c>
      <c r="O86" s="258" t="b">
        <v>0</v>
      </c>
      <c r="P86" s="207"/>
      <c r="Q86" s="76"/>
      <c r="R86" s="258" t="b">
        <v>0</v>
      </c>
      <c r="S86" s="200" t="s">
        <v>536</v>
      </c>
      <c r="T86" s="258" t="b">
        <v>0</v>
      </c>
      <c r="U86" s="258" t="b">
        <v>0</v>
      </c>
      <c r="V86" s="258" t="b">
        <v>0</v>
      </c>
      <c r="W86" s="205" t="s">
        <v>536</v>
      </c>
      <c r="X86" s="258" t="b">
        <v>0</v>
      </c>
      <c r="Z86" s="169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 s="169"/>
      <c r="AW86" s="169"/>
      <c r="AX86" s="169"/>
      <c r="AY86" s="169"/>
      <c r="AZ86" s="169"/>
      <c r="BA86" s="169"/>
      <c r="BB86" s="169"/>
      <c r="BC86" s="169"/>
      <c r="BD86" s="169"/>
      <c r="BE86" s="169"/>
      <c r="BF86" s="169"/>
      <c r="BG86" s="169"/>
      <c r="BH86" s="169"/>
      <c r="BI86" s="169"/>
      <c r="BJ86" s="169"/>
      <c r="BK86" s="169"/>
      <c r="BL86" s="169"/>
      <c r="BM86" s="169"/>
      <c r="BN86" s="169"/>
      <c r="BO86" s="169"/>
      <c r="BP86" s="169"/>
      <c r="BQ86" s="169"/>
      <c r="BR86" s="169"/>
    </row>
    <row r="87" spans="1:70" s="139" customFormat="1" x14ac:dyDescent="0.3">
      <c r="A87" s="76"/>
      <c r="B87" s="197">
        <v>83</v>
      </c>
      <c r="C87" s="130" t="s">
        <v>397</v>
      </c>
      <c r="D87" s="131" t="s">
        <v>241</v>
      </c>
      <c r="E87" s="131" t="s">
        <v>249</v>
      </c>
      <c r="F87" s="131" t="s">
        <v>231</v>
      </c>
      <c r="G87" s="131"/>
      <c r="H87" s="131" t="s">
        <v>251</v>
      </c>
      <c r="I87" s="132" t="s">
        <v>16</v>
      </c>
      <c r="J87" s="258" t="b">
        <v>0</v>
      </c>
      <c r="K87" s="207"/>
      <c r="L87" s="258" t="b">
        <v>0</v>
      </c>
      <c r="M87" s="258" t="b">
        <v>0</v>
      </c>
      <c r="N87" s="258" t="b">
        <v>0</v>
      </c>
      <c r="O87" s="258" t="b">
        <v>0</v>
      </c>
      <c r="P87" s="207"/>
      <c r="Q87" s="76"/>
      <c r="R87" s="258" t="b">
        <v>0</v>
      </c>
      <c r="S87" s="200" t="s">
        <v>536</v>
      </c>
      <c r="T87" s="258" t="b">
        <v>0</v>
      </c>
      <c r="U87" s="258" t="b">
        <v>0</v>
      </c>
      <c r="V87" s="258" t="b">
        <v>0</v>
      </c>
      <c r="W87" s="205" t="s">
        <v>536</v>
      </c>
      <c r="X87" s="258" t="b">
        <v>0</v>
      </c>
      <c r="Z87" s="169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 s="169"/>
      <c r="AW87" s="169"/>
      <c r="AX87" s="169"/>
      <c r="AY87" s="169"/>
      <c r="AZ87" s="169"/>
      <c r="BA87" s="169"/>
      <c r="BB87" s="169"/>
      <c r="BC87" s="169"/>
      <c r="BD87" s="169"/>
      <c r="BE87" s="169"/>
      <c r="BF87" s="169"/>
      <c r="BG87" s="169"/>
      <c r="BH87" s="169"/>
      <c r="BI87" s="169"/>
      <c r="BJ87" s="169"/>
      <c r="BK87" s="169"/>
      <c r="BL87" s="169"/>
      <c r="BM87" s="169"/>
      <c r="BN87" s="169"/>
      <c r="BO87" s="169"/>
      <c r="BP87" s="169"/>
      <c r="BQ87" s="169"/>
      <c r="BR87" s="169"/>
    </row>
    <row r="88" spans="1:70" s="139" customFormat="1" x14ac:dyDescent="0.3">
      <c r="A88" s="76"/>
      <c r="B88" s="73">
        <v>84</v>
      </c>
      <c r="C88" s="157" t="s">
        <v>398</v>
      </c>
      <c r="D88" s="131" t="s">
        <v>243</v>
      </c>
      <c r="E88" s="131" t="s">
        <v>249</v>
      </c>
      <c r="F88" s="131" t="s">
        <v>231</v>
      </c>
      <c r="G88" s="131"/>
      <c r="H88" s="131" t="s">
        <v>251</v>
      </c>
      <c r="I88" s="132" t="s">
        <v>16</v>
      </c>
      <c r="J88" s="258" t="b">
        <v>0</v>
      </c>
      <c r="K88" s="207"/>
      <c r="L88" s="258" t="b">
        <v>0</v>
      </c>
      <c r="M88" s="258" t="b">
        <v>0</v>
      </c>
      <c r="N88" s="258" t="b">
        <v>0</v>
      </c>
      <c r="O88" s="258" t="b">
        <v>0</v>
      </c>
      <c r="P88" s="207"/>
      <c r="Q88" s="76"/>
      <c r="R88" s="258" t="b">
        <v>0</v>
      </c>
      <c r="S88" s="200" t="s">
        <v>536</v>
      </c>
      <c r="T88" s="258" t="b">
        <v>0</v>
      </c>
      <c r="U88" s="258" t="b">
        <v>0</v>
      </c>
      <c r="V88" s="258" t="b">
        <v>0</v>
      </c>
      <c r="W88" s="205" t="s">
        <v>536</v>
      </c>
      <c r="X88" s="258" t="b">
        <v>0</v>
      </c>
      <c r="Z88" s="169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 s="169"/>
      <c r="AW88" s="169"/>
      <c r="AX88" s="169"/>
      <c r="AY88" s="169"/>
      <c r="AZ88" s="169"/>
      <c r="BA88" s="169"/>
      <c r="BB88" s="169"/>
      <c r="BC88" s="169"/>
      <c r="BD88" s="169"/>
      <c r="BE88" s="169"/>
      <c r="BF88" s="169"/>
      <c r="BG88" s="169"/>
      <c r="BH88" s="169"/>
      <c r="BI88" s="169"/>
      <c r="BJ88" s="169"/>
      <c r="BK88" s="169"/>
      <c r="BL88" s="169"/>
      <c r="BM88" s="169"/>
      <c r="BN88" s="169"/>
      <c r="BO88" s="169"/>
      <c r="BP88" s="169"/>
      <c r="BQ88" s="169"/>
      <c r="BR88" s="169"/>
    </row>
    <row r="89" spans="1:70" s="139" customFormat="1" x14ac:dyDescent="0.3">
      <c r="A89" s="76"/>
      <c r="B89" s="73">
        <v>85</v>
      </c>
      <c r="C89" s="157" t="s">
        <v>399</v>
      </c>
      <c r="D89" s="131" t="s">
        <v>245</v>
      </c>
      <c r="E89" s="131" t="s">
        <v>249</v>
      </c>
      <c r="F89" s="131" t="s">
        <v>231</v>
      </c>
      <c r="G89" s="131"/>
      <c r="H89" s="131" t="s">
        <v>251</v>
      </c>
      <c r="I89" s="132" t="s">
        <v>16</v>
      </c>
      <c r="J89" s="258" t="b">
        <v>0</v>
      </c>
      <c r="K89" s="207"/>
      <c r="L89" s="258" t="b">
        <v>0</v>
      </c>
      <c r="M89" s="258" t="b">
        <v>0</v>
      </c>
      <c r="N89" s="258" t="b">
        <v>0</v>
      </c>
      <c r="O89" s="258" t="b">
        <v>0</v>
      </c>
      <c r="P89" s="207"/>
      <c r="Q89" s="76"/>
      <c r="R89" s="258" t="b">
        <v>0</v>
      </c>
      <c r="S89" s="200" t="s">
        <v>536</v>
      </c>
      <c r="T89" s="258" t="b">
        <v>0</v>
      </c>
      <c r="U89" s="258" t="b">
        <v>0</v>
      </c>
      <c r="V89" s="258" t="b">
        <v>0</v>
      </c>
      <c r="W89" s="205" t="s">
        <v>536</v>
      </c>
      <c r="X89" s="258" t="b">
        <v>0</v>
      </c>
      <c r="Z89" s="16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</row>
    <row r="90" spans="1:70" s="139" customFormat="1" x14ac:dyDescent="0.3">
      <c r="A90" s="76"/>
      <c r="B90" s="197">
        <v>86</v>
      </c>
      <c r="C90" s="157" t="s">
        <v>400</v>
      </c>
      <c r="D90" s="131" t="s">
        <v>401</v>
      </c>
      <c r="E90" s="131" t="s">
        <v>249</v>
      </c>
      <c r="F90" s="131" t="s">
        <v>231</v>
      </c>
      <c r="G90" s="131"/>
      <c r="H90" s="131" t="s">
        <v>251</v>
      </c>
      <c r="I90" s="132" t="s">
        <v>16</v>
      </c>
      <c r="J90" s="258" t="b">
        <v>0</v>
      </c>
      <c r="K90" s="207"/>
      <c r="L90" s="258" t="b">
        <v>0</v>
      </c>
      <c r="M90" s="258" t="b">
        <v>0</v>
      </c>
      <c r="N90" s="258" t="b">
        <v>0</v>
      </c>
      <c r="O90" s="258" t="b">
        <v>0</v>
      </c>
      <c r="P90" s="207"/>
      <c r="Q90" s="76"/>
      <c r="R90" s="258" t="b">
        <v>0</v>
      </c>
      <c r="S90" s="200" t="s">
        <v>536</v>
      </c>
      <c r="T90" s="258" t="b">
        <v>0</v>
      </c>
      <c r="U90" s="258" t="b">
        <v>0</v>
      </c>
      <c r="V90" s="258" t="b">
        <v>0</v>
      </c>
      <c r="W90" s="205" t="s">
        <v>536</v>
      </c>
      <c r="X90" s="258" t="b">
        <v>0</v>
      </c>
      <c r="Z90" s="169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 s="169"/>
      <c r="AW90" s="169"/>
      <c r="AX90" s="169"/>
      <c r="AY90" s="169"/>
      <c r="AZ90" s="169"/>
      <c r="BA90" s="169"/>
      <c r="BB90" s="169"/>
      <c r="BC90" s="169"/>
      <c r="BD90" s="169"/>
      <c r="BE90" s="169"/>
      <c r="BF90" s="169"/>
      <c r="BG90" s="169"/>
      <c r="BH90" s="169"/>
      <c r="BI90" s="169"/>
      <c r="BJ90" s="169"/>
      <c r="BK90" s="169"/>
      <c r="BL90" s="169"/>
      <c r="BM90" s="169"/>
      <c r="BN90" s="169"/>
      <c r="BO90" s="169"/>
      <c r="BP90" s="169"/>
      <c r="BQ90" s="169"/>
      <c r="BR90" s="169"/>
    </row>
    <row r="91" spans="1:70" s="139" customFormat="1" x14ac:dyDescent="0.3">
      <c r="A91" s="76"/>
      <c r="B91" s="73">
        <v>87</v>
      </c>
      <c r="C91" s="130" t="s">
        <v>402</v>
      </c>
      <c r="D91" s="131" t="s">
        <v>403</v>
      </c>
      <c r="E91" s="131" t="s">
        <v>249</v>
      </c>
      <c r="F91" s="131" t="s">
        <v>231</v>
      </c>
      <c r="G91" s="131"/>
      <c r="H91" s="131" t="s">
        <v>16</v>
      </c>
      <c r="I91" s="132" t="s">
        <v>16</v>
      </c>
      <c r="J91" s="258" t="b">
        <v>0</v>
      </c>
      <c r="K91" s="207"/>
      <c r="L91" s="258" t="b">
        <v>0</v>
      </c>
      <c r="M91" s="258" t="b">
        <v>0</v>
      </c>
      <c r="N91" s="258" t="b">
        <v>0</v>
      </c>
      <c r="O91" s="258" t="b">
        <v>0</v>
      </c>
      <c r="P91" s="207"/>
      <c r="Q91" s="76"/>
      <c r="R91" s="258" t="b">
        <v>0</v>
      </c>
      <c r="S91" s="200" t="s">
        <v>536</v>
      </c>
      <c r="T91" s="258" t="b">
        <v>0</v>
      </c>
      <c r="U91" s="258" t="b">
        <v>0</v>
      </c>
      <c r="V91" s="258" t="b">
        <v>0</v>
      </c>
      <c r="W91" s="205" t="s">
        <v>536</v>
      </c>
      <c r="X91" s="258" t="b">
        <v>0</v>
      </c>
      <c r="Z91" s="169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 s="169"/>
      <c r="AW91" s="169"/>
      <c r="AX91" s="169"/>
      <c r="AY91" s="169"/>
      <c r="AZ91" s="169"/>
      <c r="BA91" s="169"/>
      <c r="BB91" s="169"/>
      <c r="BC91" s="169"/>
      <c r="BD91" s="169"/>
      <c r="BE91" s="169"/>
      <c r="BF91" s="169"/>
      <c r="BG91" s="169"/>
      <c r="BH91" s="169"/>
      <c r="BI91" s="169"/>
      <c r="BJ91" s="169"/>
      <c r="BK91" s="169"/>
      <c r="BL91" s="169"/>
      <c r="BM91" s="169"/>
      <c r="BN91" s="169"/>
      <c r="BO91" s="169"/>
      <c r="BP91" s="169"/>
      <c r="BQ91" s="169"/>
      <c r="BR91" s="169"/>
    </row>
    <row r="92" spans="1:70" s="139" customFormat="1" x14ac:dyDescent="0.3">
      <c r="A92" s="76"/>
      <c r="B92" s="212">
        <v>88</v>
      </c>
      <c r="C92" s="157" t="s">
        <v>404</v>
      </c>
      <c r="D92" s="131" t="s">
        <v>405</v>
      </c>
      <c r="E92" s="131" t="s">
        <v>249</v>
      </c>
      <c r="F92" s="131" t="s">
        <v>231</v>
      </c>
      <c r="G92" s="131"/>
      <c r="H92" s="131" t="s">
        <v>251</v>
      </c>
      <c r="I92" s="132" t="s">
        <v>233</v>
      </c>
      <c r="J92" s="258" t="b">
        <v>0</v>
      </c>
      <c r="K92" s="207"/>
      <c r="L92" s="258" t="b">
        <v>0</v>
      </c>
      <c r="M92" s="258" t="b">
        <v>0</v>
      </c>
      <c r="N92" s="258" t="b">
        <v>0</v>
      </c>
      <c r="O92" s="258" t="b">
        <v>0</v>
      </c>
      <c r="P92" s="207"/>
      <c r="Q92" s="76"/>
      <c r="R92" s="258" t="b">
        <v>0</v>
      </c>
      <c r="S92" s="131">
        <v>35</v>
      </c>
      <c r="T92" s="258" t="b">
        <v>0</v>
      </c>
      <c r="U92" s="258" t="b">
        <v>0</v>
      </c>
      <c r="V92" s="258" t="b">
        <v>0</v>
      </c>
      <c r="W92" s="204" t="s">
        <v>647</v>
      </c>
      <c r="X92" s="258" t="b">
        <v>0</v>
      </c>
      <c r="Z92" s="169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 s="169"/>
      <c r="AW92" s="169"/>
      <c r="AX92" s="169"/>
      <c r="AY92" s="169"/>
      <c r="AZ92" s="169"/>
      <c r="BA92" s="169"/>
      <c r="BB92" s="169"/>
      <c r="BC92" s="169"/>
      <c r="BD92" s="169"/>
      <c r="BE92" s="169"/>
      <c r="BF92" s="169"/>
      <c r="BG92" s="169"/>
      <c r="BH92" s="169"/>
      <c r="BI92" s="169"/>
      <c r="BJ92" s="169"/>
      <c r="BK92" s="169"/>
      <c r="BL92" s="169"/>
      <c r="BM92" s="169"/>
      <c r="BN92" s="169"/>
      <c r="BO92" s="169"/>
      <c r="BP92" s="169"/>
      <c r="BQ92" s="169"/>
      <c r="BR92" s="169"/>
    </row>
    <row r="93" spans="1:70" s="139" customFormat="1" x14ac:dyDescent="0.3">
      <c r="A93" s="76"/>
      <c r="B93" s="197">
        <v>89</v>
      </c>
      <c r="C93" s="134" t="s">
        <v>406</v>
      </c>
      <c r="D93" s="133" t="s">
        <v>247</v>
      </c>
      <c r="E93" s="133" t="s">
        <v>249</v>
      </c>
      <c r="F93" s="133" t="s">
        <v>231</v>
      </c>
      <c r="G93" s="133"/>
      <c r="H93" s="133" t="s">
        <v>251</v>
      </c>
      <c r="I93" s="135" t="s">
        <v>16</v>
      </c>
      <c r="J93" s="258" t="b">
        <v>0</v>
      </c>
      <c r="K93" s="207"/>
      <c r="L93" s="258" t="b">
        <v>0</v>
      </c>
      <c r="M93" s="258" t="b">
        <v>0</v>
      </c>
      <c r="N93" s="258" t="b">
        <v>0</v>
      </c>
      <c r="O93" s="258" t="b">
        <v>0</v>
      </c>
      <c r="P93" s="207"/>
      <c r="Q93" s="76"/>
      <c r="R93" s="258" t="b">
        <v>0</v>
      </c>
      <c r="S93" s="200" t="s">
        <v>536</v>
      </c>
      <c r="T93" s="258" t="b">
        <v>0</v>
      </c>
      <c r="U93" s="258" t="b">
        <v>0</v>
      </c>
      <c r="V93" s="258" t="b">
        <v>0</v>
      </c>
      <c r="W93" s="205" t="s">
        <v>536</v>
      </c>
      <c r="X93" s="258" t="b">
        <v>0</v>
      </c>
      <c r="Z93" s="169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 s="169"/>
      <c r="AW93" s="169"/>
      <c r="AX93" s="169"/>
      <c r="AY93" s="169"/>
      <c r="AZ93" s="169"/>
      <c r="BA93" s="169"/>
      <c r="BB93" s="169"/>
      <c r="BC93" s="169"/>
      <c r="BD93" s="169"/>
      <c r="BE93" s="169"/>
      <c r="BF93" s="169"/>
      <c r="BG93" s="169"/>
      <c r="BH93" s="169"/>
      <c r="BI93" s="169"/>
      <c r="BJ93" s="169"/>
      <c r="BK93" s="169"/>
      <c r="BL93" s="169"/>
      <c r="BM93" s="169"/>
      <c r="BN93" s="169"/>
      <c r="BO93" s="169"/>
      <c r="BP93" s="169"/>
      <c r="BQ93" s="169"/>
      <c r="BR93" s="169"/>
    </row>
    <row r="94" spans="1:70" s="139" customFormat="1" x14ac:dyDescent="0.3">
      <c r="A94" s="76"/>
      <c r="B94" s="73">
        <v>90</v>
      </c>
      <c r="C94" s="134" t="s">
        <v>407</v>
      </c>
      <c r="D94" s="133" t="s">
        <v>408</v>
      </c>
      <c r="E94" s="133" t="s">
        <v>249</v>
      </c>
      <c r="F94" s="133" t="s">
        <v>231</v>
      </c>
      <c r="G94" s="133"/>
      <c r="H94" s="133" t="s">
        <v>251</v>
      </c>
      <c r="I94" s="135" t="s">
        <v>16</v>
      </c>
      <c r="J94" s="258" t="b">
        <v>0</v>
      </c>
      <c r="K94" s="207"/>
      <c r="L94" s="258" t="b">
        <v>0</v>
      </c>
      <c r="M94" s="258" t="b">
        <v>0</v>
      </c>
      <c r="N94" s="258" t="b">
        <v>0</v>
      </c>
      <c r="O94" s="258" t="b">
        <v>0</v>
      </c>
      <c r="P94" s="207"/>
      <c r="Q94" s="76"/>
      <c r="R94" s="258" t="b">
        <v>0</v>
      </c>
      <c r="S94" s="200" t="s">
        <v>536</v>
      </c>
      <c r="T94" s="258" t="b">
        <v>0</v>
      </c>
      <c r="U94" s="258" t="b">
        <v>0</v>
      </c>
      <c r="V94" s="258" t="b">
        <v>0</v>
      </c>
      <c r="W94" s="205" t="s">
        <v>536</v>
      </c>
      <c r="X94" s="258" t="b">
        <v>0</v>
      </c>
      <c r="Z94" s="169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 s="169"/>
      <c r="AW94" s="169"/>
      <c r="AX94" s="169"/>
      <c r="AY94" s="169"/>
      <c r="AZ94" s="169"/>
      <c r="BA94" s="169"/>
      <c r="BB94" s="169"/>
      <c r="BC94" s="169"/>
      <c r="BD94" s="169"/>
      <c r="BE94" s="169"/>
      <c r="BF94" s="169"/>
      <c r="BG94" s="169"/>
      <c r="BH94" s="169"/>
      <c r="BI94" s="169"/>
      <c r="BJ94" s="169"/>
      <c r="BK94" s="169"/>
      <c r="BL94" s="169"/>
      <c r="BM94" s="169"/>
      <c r="BN94" s="169"/>
      <c r="BO94" s="169"/>
      <c r="BP94" s="169"/>
      <c r="BQ94" s="169"/>
      <c r="BR94" s="169"/>
    </row>
    <row r="95" spans="1:70" s="139" customFormat="1" x14ac:dyDescent="0.3">
      <c r="A95" s="76"/>
      <c r="B95" s="73">
        <v>91</v>
      </c>
      <c r="C95" s="157" t="s">
        <v>409</v>
      </c>
      <c r="D95" s="133" t="s">
        <v>410</v>
      </c>
      <c r="E95" s="133" t="s">
        <v>249</v>
      </c>
      <c r="F95" s="133" t="s">
        <v>231</v>
      </c>
      <c r="G95" s="133"/>
      <c r="H95" s="133" t="s">
        <v>251</v>
      </c>
      <c r="I95" s="135" t="s">
        <v>16</v>
      </c>
      <c r="J95" s="258" t="b">
        <v>0</v>
      </c>
      <c r="K95" s="207"/>
      <c r="L95" s="258" t="b">
        <v>0</v>
      </c>
      <c r="M95" s="258" t="b">
        <v>0</v>
      </c>
      <c r="N95" s="258" t="b">
        <v>0</v>
      </c>
      <c r="O95" s="258" t="b">
        <v>0</v>
      </c>
      <c r="P95" s="207"/>
      <c r="Q95" s="76"/>
      <c r="R95" s="258" t="b">
        <v>0</v>
      </c>
      <c r="S95" s="200" t="s">
        <v>536</v>
      </c>
      <c r="T95" s="258" t="b">
        <v>0</v>
      </c>
      <c r="U95" s="258" t="b">
        <v>0</v>
      </c>
      <c r="V95" s="258" t="b">
        <v>0</v>
      </c>
      <c r="W95" s="205" t="s">
        <v>536</v>
      </c>
      <c r="X95" s="258" t="b">
        <v>0</v>
      </c>
      <c r="Z95" s="169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 s="169"/>
      <c r="AW95" s="169"/>
      <c r="AX95" s="169"/>
      <c r="AY95" s="169"/>
      <c r="AZ95" s="169"/>
      <c r="BA95" s="169"/>
      <c r="BB95" s="169"/>
      <c r="BC95" s="169"/>
      <c r="BD95" s="169"/>
      <c r="BE95" s="169"/>
      <c r="BF95" s="169"/>
      <c r="BG95" s="169"/>
      <c r="BH95" s="169"/>
      <c r="BI95" s="169"/>
      <c r="BJ95" s="169"/>
      <c r="BK95" s="169"/>
      <c r="BL95" s="169"/>
      <c r="BM95" s="169"/>
      <c r="BN95" s="169"/>
      <c r="BO95" s="169"/>
      <c r="BP95" s="169"/>
      <c r="BQ95" s="169"/>
      <c r="BR95" s="169"/>
    </row>
    <row r="96" spans="1:70" s="139" customFormat="1" x14ac:dyDescent="0.3">
      <c r="A96" s="76"/>
      <c r="B96" s="197">
        <v>92</v>
      </c>
      <c r="C96" s="130" t="s">
        <v>411</v>
      </c>
      <c r="D96" s="131" t="s">
        <v>414</v>
      </c>
      <c r="E96" s="131" t="s">
        <v>412</v>
      </c>
      <c r="F96" s="131" t="s">
        <v>413</v>
      </c>
      <c r="G96" s="131"/>
      <c r="H96" s="131" t="s">
        <v>251</v>
      </c>
      <c r="I96" s="132" t="s">
        <v>16</v>
      </c>
      <c r="J96" s="258" t="b">
        <v>0</v>
      </c>
      <c r="K96" s="207"/>
      <c r="L96" s="258" t="b">
        <v>0</v>
      </c>
      <c r="M96" s="258" t="b">
        <v>0</v>
      </c>
      <c r="N96" s="258" t="b">
        <v>0</v>
      </c>
      <c r="O96" s="258" t="b">
        <v>0</v>
      </c>
      <c r="P96" s="207"/>
      <c r="Q96" s="76"/>
      <c r="R96" s="258" t="b">
        <v>0</v>
      </c>
      <c r="S96" s="131">
        <v>18</v>
      </c>
      <c r="T96" s="258" t="b">
        <v>0</v>
      </c>
      <c r="U96" s="258" t="b">
        <v>0</v>
      </c>
      <c r="V96" s="258" t="b">
        <v>0</v>
      </c>
      <c r="W96" s="163"/>
      <c r="X96" s="258" t="b">
        <v>0</v>
      </c>
      <c r="Z96" s="169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 s="169"/>
      <c r="AW96" s="169"/>
      <c r="AX96" s="169"/>
      <c r="AY96" s="169"/>
      <c r="AZ96" s="169"/>
      <c r="BA96" s="169"/>
      <c r="BB96" s="169"/>
      <c r="BC96" s="169"/>
      <c r="BD96" s="169"/>
      <c r="BE96" s="169"/>
      <c r="BF96" s="169"/>
      <c r="BG96" s="169"/>
      <c r="BH96" s="169"/>
      <c r="BI96" s="169"/>
      <c r="BJ96" s="169"/>
      <c r="BK96" s="169"/>
      <c r="BL96" s="169"/>
      <c r="BM96" s="169"/>
      <c r="BN96" s="169"/>
      <c r="BO96" s="169"/>
      <c r="BP96" s="169"/>
      <c r="BQ96" s="169"/>
      <c r="BR96" s="169"/>
    </row>
    <row r="97" spans="1:70" s="139" customFormat="1" x14ac:dyDescent="0.3">
      <c r="A97" s="76"/>
      <c r="B97" s="73">
        <v>93</v>
      </c>
      <c r="C97" s="130" t="s">
        <v>415</v>
      </c>
      <c r="D97" s="131" t="s">
        <v>416</v>
      </c>
      <c r="E97" s="131" t="s">
        <v>412</v>
      </c>
      <c r="F97" s="131" t="s">
        <v>413</v>
      </c>
      <c r="G97" s="131"/>
      <c r="H97" s="131" t="s">
        <v>251</v>
      </c>
      <c r="I97" s="132" t="s">
        <v>16</v>
      </c>
      <c r="J97" s="258" t="b">
        <v>0</v>
      </c>
      <c r="K97" s="207"/>
      <c r="L97" s="258" t="b">
        <v>0</v>
      </c>
      <c r="M97" s="258" t="b">
        <v>0</v>
      </c>
      <c r="N97" s="258" t="b">
        <v>0</v>
      </c>
      <c r="O97" s="258" t="b">
        <v>0</v>
      </c>
      <c r="P97" s="207"/>
      <c r="Q97" s="76"/>
      <c r="R97" s="258" t="b">
        <v>0</v>
      </c>
      <c r="S97" s="131">
        <v>18</v>
      </c>
      <c r="T97" s="258" t="b">
        <v>0</v>
      </c>
      <c r="U97" s="258" t="b">
        <v>0</v>
      </c>
      <c r="V97" s="258" t="b">
        <v>0</v>
      </c>
      <c r="W97" s="163"/>
      <c r="X97" s="258" t="b">
        <v>0</v>
      </c>
      <c r="Z97" s="169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 s="169"/>
      <c r="AW97" s="169"/>
      <c r="AX97" s="169"/>
      <c r="AY97" s="169"/>
      <c r="AZ97" s="169"/>
      <c r="BA97" s="169"/>
      <c r="BB97" s="169"/>
      <c r="BC97" s="169"/>
      <c r="BD97" s="169"/>
      <c r="BE97" s="169"/>
      <c r="BF97" s="169"/>
      <c r="BG97" s="169"/>
      <c r="BH97" s="169"/>
      <c r="BI97" s="169"/>
      <c r="BJ97" s="169"/>
      <c r="BK97" s="169"/>
      <c r="BL97" s="169"/>
      <c r="BM97" s="169"/>
      <c r="BN97" s="169"/>
      <c r="BO97" s="169"/>
      <c r="BP97" s="169"/>
      <c r="BQ97" s="169"/>
      <c r="BR97" s="169"/>
    </row>
    <row r="98" spans="1:70" s="139" customFormat="1" x14ac:dyDescent="0.3">
      <c r="A98" s="76"/>
      <c r="B98" s="73">
        <v>94</v>
      </c>
      <c r="C98" s="157" t="s">
        <v>417</v>
      </c>
      <c r="D98" s="131" t="s">
        <v>418</v>
      </c>
      <c r="E98" s="131" t="s">
        <v>412</v>
      </c>
      <c r="F98" s="131" t="s">
        <v>413</v>
      </c>
      <c r="G98" s="131"/>
      <c r="H98" s="131" t="s">
        <v>286</v>
      </c>
      <c r="I98" s="132" t="s">
        <v>16</v>
      </c>
      <c r="J98" s="258" t="b">
        <v>0</v>
      </c>
      <c r="K98" s="207"/>
      <c r="L98" s="258" t="b">
        <v>0</v>
      </c>
      <c r="M98" s="258" t="b">
        <v>0</v>
      </c>
      <c r="N98" s="258" t="b">
        <v>0</v>
      </c>
      <c r="O98" s="258" t="b">
        <v>0</v>
      </c>
      <c r="P98" s="207"/>
      <c r="Q98" s="76"/>
      <c r="R98" s="258" t="b">
        <v>0</v>
      </c>
      <c r="S98" s="131">
        <v>19</v>
      </c>
      <c r="T98" s="258" t="b">
        <v>0</v>
      </c>
      <c r="U98" s="258" t="b">
        <v>0</v>
      </c>
      <c r="V98" s="258" t="b">
        <v>0</v>
      </c>
      <c r="W98" s="163"/>
      <c r="X98" s="258" t="b">
        <v>0</v>
      </c>
      <c r="Z98" s="169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 s="169"/>
      <c r="AW98" s="169"/>
      <c r="AX98" s="169"/>
      <c r="AY98" s="169"/>
      <c r="AZ98" s="169"/>
      <c r="BA98" s="169"/>
      <c r="BB98" s="169"/>
      <c r="BC98" s="169"/>
      <c r="BD98" s="169"/>
      <c r="BE98" s="169"/>
      <c r="BF98" s="169"/>
      <c r="BG98" s="169"/>
      <c r="BH98" s="169"/>
      <c r="BI98" s="169"/>
      <c r="BJ98" s="169"/>
      <c r="BK98" s="169"/>
      <c r="BL98" s="169"/>
      <c r="BM98" s="169"/>
      <c r="BN98" s="169"/>
      <c r="BO98" s="169"/>
      <c r="BP98" s="169"/>
      <c r="BQ98" s="169"/>
      <c r="BR98" s="169"/>
    </row>
    <row r="99" spans="1:70" s="139" customFormat="1" x14ac:dyDescent="0.3">
      <c r="A99" s="76"/>
      <c r="B99" s="197">
        <v>95</v>
      </c>
      <c r="C99" s="157" t="s">
        <v>419</v>
      </c>
      <c r="D99" s="131" t="s">
        <v>420</v>
      </c>
      <c r="E99" s="131" t="s">
        <v>412</v>
      </c>
      <c r="F99" s="131" t="s">
        <v>413</v>
      </c>
      <c r="G99" s="131"/>
      <c r="H99" s="131" t="s">
        <v>286</v>
      </c>
      <c r="I99" s="132" t="s">
        <v>16</v>
      </c>
      <c r="J99" s="258" t="b">
        <v>0</v>
      </c>
      <c r="K99" s="207"/>
      <c r="L99" s="258" t="b">
        <v>0</v>
      </c>
      <c r="M99" s="258" t="b">
        <v>0</v>
      </c>
      <c r="N99" s="258" t="b">
        <v>0</v>
      </c>
      <c r="O99" s="258" t="b">
        <v>0</v>
      </c>
      <c r="P99" s="207"/>
      <c r="Q99" s="76"/>
      <c r="R99" s="258" t="b">
        <v>0</v>
      </c>
      <c r="S99" s="131">
        <v>22</v>
      </c>
      <c r="T99" s="258" t="b">
        <v>0</v>
      </c>
      <c r="U99" s="258" t="b">
        <v>0</v>
      </c>
      <c r="V99" s="258" t="b">
        <v>0</v>
      </c>
      <c r="W99" s="163"/>
      <c r="X99" s="258" t="b">
        <v>0</v>
      </c>
      <c r="Z99" s="16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 s="169"/>
      <c r="AW99" s="169"/>
      <c r="AX99" s="169"/>
      <c r="AY99" s="169"/>
      <c r="AZ99" s="169"/>
      <c r="BA99" s="169"/>
      <c r="BB99" s="169"/>
      <c r="BC99" s="169"/>
      <c r="BD99" s="169"/>
      <c r="BE99" s="169"/>
      <c r="BF99" s="169"/>
      <c r="BG99" s="169"/>
      <c r="BH99" s="169"/>
      <c r="BI99" s="169"/>
      <c r="BJ99" s="169"/>
      <c r="BK99" s="169"/>
      <c r="BL99" s="169"/>
      <c r="BM99" s="169"/>
      <c r="BN99" s="169"/>
      <c r="BO99" s="169"/>
      <c r="BP99" s="169"/>
      <c r="BQ99" s="169"/>
      <c r="BR99" s="169"/>
    </row>
    <row r="100" spans="1:70" s="139" customFormat="1" x14ac:dyDescent="0.3">
      <c r="A100" s="76"/>
      <c r="B100" s="73">
        <v>96</v>
      </c>
      <c r="C100" s="140" t="s">
        <v>421</v>
      </c>
      <c r="D100" s="141" t="s">
        <v>422</v>
      </c>
      <c r="E100" s="141" t="s">
        <v>412</v>
      </c>
      <c r="F100" s="141" t="s">
        <v>413</v>
      </c>
      <c r="G100" s="141"/>
      <c r="H100" s="141" t="s">
        <v>251</v>
      </c>
      <c r="I100" s="142" t="s">
        <v>16</v>
      </c>
      <c r="J100" s="258" t="b">
        <v>0</v>
      </c>
      <c r="K100" s="207"/>
      <c r="L100" s="258" t="b">
        <v>0</v>
      </c>
      <c r="M100" s="258" t="b">
        <v>0</v>
      </c>
      <c r="N100" s="258" t="b">
        <v>0</v>
      </c>
      <c r="O100" s="258" t="b">
        <v>0</v>
      </c>
      <c r="P100" s="207"/>
      <c r="Q100" s="76"/>
      <c r="R100" s="258" t="b">
        <v>0</v>
      </c>
      <c r="S100" s="131"/>
      <c r="T100" s="258" t="b">
        <v>0</v>
      </c>
      <c r="U100" s="258" t="b">
        <v>0</v>
      </c>
      <c r="V100" s="258" t="b">
        <v>0</v>
      </c>
      <c r="W100" s="163"/>
      <c r="X100" s="258" t="b">
        <v>0</v>
      </c>
      <c r="Z100" s="169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 s="169"/>
      <c r="AW100" s="169"/>
      <c r="AX100" s="169"/>
      <c r="AY100" s="169"/>
      <c r="AZ100" s="169"/>
      <c r="BA100" s="169"/>
      <c r="BB100" s="169"/>
      <c r="BC100" s="169"/>
      <c r="BD100" s="169"/>
      <c r="BE100" s="169"/>
      <c r="BF100" s="169"/>
      <c r="BG100" s="169"/>
      <c r="BH100" s="169"/>
      <c r="BI100" s="169"/>
      <c r="BJ100" s="169"/>
      <c r="BK100" s="169"/>
      <c r="BL100" s="169"/>
      <c r="BM100" s="169"/>
      <c r="BN100" s="169"/>
      <c r="BO100" s="169"/>
      <c r="BP100" s="169"/>
      <c r="BQ100" s="169"/>
      <c r="BR100" s="169"/>
    </row>
    <row r="101" spans="1:70" s="139" customFormat="1" x14ac:dyDescent="0.3">
      <c r="A101" s="76"/>
      <c r="B101" s="73">
        <v>97</v>
      </c>
      <c r="C101" s="130" t="s">
        <v>423</v>
      </c>
      <c r="D101" s="131" t="s">
        <v>424</v>
      </c>
      <c r="E101" s="131" t="s">
        <v>412</v>
      </c>
      <c r="F101" s="131" t="s">
        <v>413</v>
      </c>
      <c r="G101" s="131"/>
      <c r="H101" s="131" t="s">
        <v>251</v>
      </c>
      <c r="I101" s="132" t="s">
        <v>16</v>
      </c>
      <c r="J101" s="258" t="b">
        <v>0</v>
      </c>
      <c r="K101" s="207"/>
      <c r="L101" s="258" t="b">
        <v>0</v>
      </c>
      <c r="M101" s="258" t="b">
        <v>0</v>
      </c>
      <c r="N101" s="258" t="b">
        <v>0</v>
      </c>
      <c r="O101" s="258" t="b">
        <v>0</v>
      </c>
      <c r="P101" s="207"/>
      <c r="Q101" s="76"/>
      <c r="R101" s="258" t="b">
        <v>0</v>
      </c>
      <c r="S101" s="131">
        <v>47</v>
      </c>
      <c r="T101" s="258" t="b">
        <v>0</v>
      </c>
      <c r="U101" s="258" t="b">
        <v>0</v>
      </c>
      <c r="V101" s="258" t="b">
        <v>0</v>
      </c>
      <c r="W101" s="163"/>
      <c r="X101" s="258" t="b">
        <v>0</v>
      </c>
      <c r="Z101" s="169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 s="169"/>
      <c r="AW101" s="169"/>
      <c r="AX101" s="169"/>
      <c r="AY101" s="169"/>
      <c r="AZ101" s="169"/>
      <c r="BA101" s="169"/>
      <c r="BB101" s="169"/>
      <c r="BC101" s="169"/>
      <c r="BD101" s="169"/>
      <c r="BE101" s="169"/>
      <c r="BF101" s="169"/>
      <c r="BG101" s="169"/>
      <c r="BH101" s="169"/>
      <c r="BI101" s="169"/>
      <c r="BJ101" s="169"/>
      <c r="BK101" s="169"/>
      <c r="BL101" s="169"/>
      <c r="BM101" s="169"/>
      <c r="BN101" s="169"/>
      <c r="BO101" s="169"/>
      <c r="BP101" s="169"/>
      <c r="BQ101" s="169"/>
      <c r="BR101" s="169"/>
    </row>
    <row r="102" spans="1:70" s="139" customFormat="1" x14ac:dyDescent="0.3">
      <c r="A102" s="76"/>
      <c r="B102" s="197">
        <v>98</v>
      </c>
      <c r="C102" s="130" t="s">
        <v>425</v>
      </c>
      <c r="D102" s="131" t="s">
        <v>426</v>
      </c>
      <c r="E102" s="131" t="s">
        <v>412</v>
      </c>
      <c r="F102" s="131" t="s">
        <v>413</v>
      </c>
      <c r="G102" s="131"/>
      <c r="H102" s="131" t="s">
        <v>286</v>
      </c>
      <c r="I102" s="132" t="s">
        <v>16</v>
      </c>
      <c r="J102" s="258" t="b">
        <v>0</v>
      </c>
      <c r="K102" s="207"/>
      <c r="L102" s="258" t="b">
        <v>0</v>
      </c>
      <c r="M102" s="258" t="b">
        <v>0</v>
      </c>
      <c r="N102" s="258" t="b">
        <v>0</v>
      </c>
      <c r="O102" s="258" t="b">
        <v>0</v>
      </c>
      <c r="P102" s="207"/>
      <c r="Q102" s="76"/>
      <c r="R102" s="258" t="b">
        <v>0</v>
      </c>
      <c r="S102" s="131">
        <v>24</v>
      </c>
      <c r="T102" s="258" t="b">
        <v>0</v>
      </c>
      <c r="U102" s="258" t="b">
        <v>0</v>
      </c>
      <c r="V102" s="258" t="b">
        <v>0</v>
      </c>
      <c r="W102" s="163"/>
      <c r="X102" s="258" t="b">
        <v>0</v>
      </c>
      <c r="Z102" s="169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 s="169"/>
      <c r="AW102" s="169"/>
      <c r="AX102" s="169"/>
      <c r="AY102" s="169"/>
      <c r="AZ102" s="169"/>
      <c r="BA102" s="169"/>
      <c r="BB102" s="169"/>
      <c r="BC102" s="169"/>
      <c r="BD102" s="169"/>
      <c r="BE102" s="169"/>
      <c r="BF102" s="169"/>
      <c r="BG102" s="169"/>
      <c r="BH102" s="169"/>
      <c r="BI102" s="169"/>
      <c r="BJ102" s="169"/>
      <c r="BK102" s="169"/>
      <c r="BL102" s="169"/>
      <c r="BM102" s="169"/>
      <c r="BN102" s="169"/>
      <c r="BO102" s="169"/>
      <c r="BP102" s="169"/>
      <c r="BQ102" s="169"/>
      <c r="BR102" s="169"/>
    </row>
    <row r="103" spans="1:70" s="139" customFormat="1" x14ac:dyDescent="0.3">
      <c r="A103" s="76"/>
      <c r="B103" s="73">
        <v>99</v>
      </c>
      <c r="C103" s="130" t="s">
        <v>427</v>
      </c>
      <c r="D103" s="131" t="s">
        <v>429</v>
      </c>
      <c r="E103" s="131" t="s">
        <v>412</v>
      </c>
      <c r="F103" s="131" t="s">
        <v>428</v>
      </c>
      <c r="G103" s="131"/>
      <c r="H103" s="131" t="s">
        <v>286</v>
      </c>
      <c r="I103" s="132" t="s">
        <v>16</v>
      </c>
      <c r="J103" s="258" t="b">
        <v>0</v>
      </c>
      <c r="K103" s="207"/>
      <c r="L103" s="258" t="b">
        <v>0</v>
      </c>
      <c r="M103" s="258" t="b">
        <v>0</v>
      </c>
      <c r="N103" s="258" t="b">
        <v>0</v>
      </c>
      <c r="O103" s="258" t="b">
        <v>0</v>
      </c>
      <c r="P103" s="207"/>
      <c r="Q103" s="76"/>
      <c r="R103" s="258" t="b">
        <v>0</v>
      </c>
      <c r="S103" s="131">
        <v>30</v>
      </c>
      <c r="T103" s="258" t="b">
        <v>0</v>
      </c>
      <c r="U103" s="258" t="b">
        <v>0</v>
      </c>
      <c r="V103" s="258" t="b">
        <v>0</v>
      </c>
      <c r="W103" s="163"/>
      <c r="X103" s="258" t="b">
        <v>0</v>
      </c>
      <c r="Z103" s="169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 s="169"/>
      <c r="AW103" s="169"/>
      <c r="AX103" s="169"/>
      <c r="AY103" s="169"/>
      <c r="AZ103" s="169"/>
      <c r="BA103" s="169"/>
      <c r="BB103" s="169"/>
      <c r="BC103" s="169"/>
      <c r="BD103" s="169"/>
      <c r="BE103" s="169"/>
      <c r="BF103" s="169"/>
      <c r="BG103" s="169"/>
      <c r="BH103" s="169"/>
      <c r="BI103" s="169"/>
      <c r="BJ103" s="169"/>
      <c r="BK103" s="169"/>
      <c r="BL103" s="169"/>
      <c r="BM103" s="169"/>
      <c r="BN103" s="169"/>
      <c r="BO103" s="169"/>
      <c r="BP103" s="169"/>
      <c r="BQ103" s="169"/>
      <c r="BR103" s="169"/>
    </row>
    <row r="104" spans="1:70" s="139" customFormat="1" x14ac:dyDescent="0.3">
      <c r="A104" s="76"/>
      <c r="B104" s="73">
        <v>100</v>
      </c>
      <c r="C104" s="157" t="s">
        <v>430</v>
      </c>
      <c r="D104" s="131" t="s">
        <v>431</v>
      </c>
      <c r="E104" s="131" t="s">
        <v>412</v>
      </c>
      <c r="F104" s="131" t="s">
        <v>413</v>
      </c>
      <c r="G104" s="131"/>
      <c r="H104" s="131" t="s">
        <v>251</v>
      </c>
      <c r="I104" s="132" t="s">
        <v>16</v>
      </c>
      <c r="J104" s="258" t="b">
        <v>0</v>
      </c>
      <c r="K104" s="207"/>
      <c r="L104" s="258" t="b">
        <v>0</v>
      </c>
      <c r="M104" s="258" t="b">
        <v>0</v>
      </c>
      <c r="N104" s="258" t="b">
        <v>0</v>
      </c>
      <c r="O104" s="258" t="b">
        <v>0</v>
      </c>
      <c r="P104" s="207"/>
      <c r="Q104" s="76"/>
      <c r="R104" s="258" t="b">
        <v>0</v>
      </c>
      <c r="S104" s="131">
        <v>9</v>
      </c>
      <c r="T104" s="258" t="b">
        <v>0</v>
      </c>
      <c r="U104" s="258" t="b">
        <v>0</v>
      </c>
      <c r="V104" s="258" t="b">
        <v>0</v>
      </c>
      <c r="W104" s="163"/>
      <c r="X104" s="258" t="b">
        <v>0</v>
      </c>
      <c r="Z104" s="169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 s="169"/>
      <c r="AW104" s="169"/>
      <c r="AX104" s="169"/>
      <c r="AY104" s="169"/>
      <c r="AZ104" s="169"/>
      <c r="BA104" s="169"/>
      <c r="BB104" s="169"/>
      <c r="BC104" s="169"/>
      <c r="BD104" s="169"/>
      <c r="BE104" s="169"/>
      <c r="BF104" s="169"/>
      <c r="BG104" s="169"/>
      <c r="BH104" s="169"/>
      <c r="BI104" s="169"/>
      <c r="BJ104" s="169"/>
      <c r="BK104" s="169"/>
      <c r="BL104" s="169"/>
      <c r="BM104" s="169"/>
      <c r="BN104" s="169"/>
      <c r="BO104" s="169"/>
      <c r="BP104" s="169"/>
      <c r="BQ104" s="169"/>
      <c r="BR104" s="169"/>
    </row>
    <row r="105" spans="1:70" s="139" customFormat="1" x14ac:dyDescent="0.3">
      <c r="A105" s="76"/>
      <c r="B105" s="197">
        <v>101</v>
      </c>
      <c r="C105" s="157" t="s">
        <v>432</v>
      </c>
      <c r="D105" s="131" t="s">
        <v>433</v>
      </c>
      <c r="E105" s="131" t="s">
        <v>412</v>
      </c>
      <c r="F105" s="131" t="s">
        <v>413</v>
      </c>
      <c r="G105" s="131"/>
      <c r="H105" s="131" t="s">
        <v>251</v>
      </c>
      <c r="I105" s="132" t="s">
        <v>16</v>
      </c>
      <c r="J105" s="258" t="b">
        <v>0</v>
      </c>
      <c r="K105" s="207"/>
      <c r="L105" s="258" t="b">
        <v>0</v>
      </c>
      <c r="M105" s="258" t="b">
        <v>0</v>
      </c>
      <c r="N105" s="258" t="b">
        <v>0</v>
      </c>
      <c r="O105" s="258" t="b">
        <v>0</v>
      </c>
      <c r="P105" s="207"/>
      <c r="Q105" s="76"/>
      <c r="R105" s="258" t="b">
        <v>0</v>
      </c>
      <c r="S105" s="131">
        <v>9</v>
      </c>
      <c r="T105" s="258" t="b">
        <v>0</v>
      </c>
      <c r="U105" s="258" t="b">
        <v>0</v>
      </c>
      <c r="V105" s="258" t="b">
        <v>0</v>
      </c>
      <c r="W105" s="163"/>
      <c r="X105" s="258" t="b">
        <v>0</v>
      </c>
      <c r="Z105" s="169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 s="169"/>
      <c r="AW105" s="169"/>
      <c r="AX105" s="169"/>
      <c r="AY105" s="169"/>
      <c r="AZ105" s="169"/>
      <c r="BA105" s="169"/>
      <c r="BB105" s="169"/>
      <c r="BC105" s="169"/>
      <c r="BD105" s="169"/>
      <c r="BE105" s="169"/>
      <c r="BF105" s="169"/>
      <c r="BG105" s="169"/>
      <c r="BH105" s="169"/>
      <c r="BI105" s="169"/>
      <c r="BJ105" s="169"/>
      <c r="BK105" s="169"/>
      <c r="BL105" s="169"/>
      <c r="BM105" s="169"/>
      <c r="BN105" s="169"/>
      <c r="BO105" s="169"/>
      <c r="BP105" s="169"/>
      <c r="BQ105" s="169"/>
      <c r="BR105" s="169"/>
    </row>
    <row r="106" spans="1:70" s="139" customFormat="1" x14ac:dyDescent="0.3">
      <c r="A106" s="76"/>
      <c r="B106" s="73">
        <v>102</v>
      </c>
      <c r="C106" s="130" t="s">
        <v>434</v>
      </c>
      <c r="D106" s="131" t="s">
        <v>435</v>
      </c>
      <c r="E106" s="131" t="s">
        <v>412</v>
      </c>
      <c r="F106" s="131" t="s">
        <v>413</v>
      </c>
      <c r="G106" s="131"/>
      <c r="H106" s="131" t="s">
        <v>251</v>
      </c>
      <c r="I106" s="132" t="s">
        <v>16</v>
      </c>
      <c r="J106" s="258" t="b">
        <v>0</v>
      </c>
      <c r="K106" s="207"/>
      <c r="L106" s="258" t="b">
        <v>0</v>
      </c>
      <c r="M106" s="258" t="b">
        <v>0</v>
      </c>
      <c r="N106" s="258" t="b">
        <v>0</v>
      </c>
      <c r="O106" s="258" t="b">
        <v>0</v>
      </c>
      <c r="P106" s="207"/>
      <c r="Q106" s="76"/>
      <c r="R106" s="258" t="b">
        <v>0</v>
      </c>
      <c r="S106" s="131">
        <v>16</v>
      </c>
      <c r="T106" s="258" t="b">
        <v>0</v>
      </c>
      <c r="U106" s="258" t="b">
        <v>0</v>
      </c>
      <c r="V106" s="258" t="b">
        <v>0</v>
      </c>
      <c r="W106" s="163"/>
      <c r="X106" s="258" t="b">
        <v>0</v>
      </c>
      <c r="Z106" s="169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 s="169"/>
      <c r="AW106" s="169"/>
      <c r="AX106" s="169"/>
      <c r="AY106" s="169"/>
      <c r="AZ106" s="169"/>
      <c r="BA106" s="169"/>
      <c r="BB106" s="169"/>
      <c r="BC106" s="169"/>
      <c r="BD106" s="169"/>
      <c r="BE106" s="169"/>
      <c r="BF106" s="169"/>
      <c r="BG106" s="169"/>
      <c r="BH106" s="169"/>
      <c r="BI106" s="169"/>
      <c r="BJ106" s="169"/>
      <c r="BK106" s="169"/>
      <c r="BL106" s="169"/>
      <c r="BM106" s="169"/>
      <c r="BN106" s="169"/>
      <c r="BO106" s="169"/>
      <c r="BP106" s="169"/>
      <c r="BQ106" s="169"/>
      <c r="BR106" s="169"/>
    </row>
    <row r="107" spans="1:70" s="139" customFormat="1" x14ac:dyDescent="0.3">
      <c r="A107" s="76"/>
      <c r="B107" s="73">
        <v>103</v>
      </c>
      <c r="C107" s="157" t="s">
        <v>436</v>
      </c>
      <c r="D107" s="131" t="s">
        <v>437</v>
      </c>
      <c r="E107" s="131" t="s">
        <v>249</v>
      </c>
      <c r="F107" s="131" t="s">
        <v>231</v>
      </c>
      <c r="G107" s="131"/>
      <c r="H107" s="131" t="s">
        <v>251</v>
      </c>
      <c r="I107" s="132" t="s">
        <v>233</v>
      </c>
      <c r="J107" s="258" t="b">
        <v>0</v>
      </c>
      <c r="K107" s="207"/>
      <c r="L107" s="258" t="b">
        <v>0</v>
      </c>
      <c r="M107" s="258" t="b">
        <v>0</v>
      </c>
      <c r="N107" s="258" t="b">
        <v>0</v>
      </c>
      <c r="O107" s="258" t="b">
        <v>0</v>
      </c>
      <c r="P107" s="207"/>
      <c r="Q107" s="76"/>
      <c r="R107" s="258" t="b">
        <v>0</v>
      </c>
      <c r="S107" s="131">
        <v>24</v>
      </c>
      <c r="T107" s="258" t="b">
        <v>0</v>
      </c>
      <c r="U107" s="258" t="b">
        <v>0</v>
      </c>
      <c r="V107" s="258" t="b">
        <v>0</v>
      </c>
      <c r="W107" s="163"/>
      <c r="X107" s="258" t="b">
        <v>0</v>
      </c>
      <c r="Z107" s="169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 s="169"/>
      <c r="AW107" s="169"/>
      <c r="AX107" s="169"/>
      <c r="AY107" s="169"/>
      <c r="AZ107" s="169"/>
      <c r="BA107" s="169"/>
      <c r="BB107" s="169"/>
      <c r="BC107" s="169"/>
      <c r="BD107" s="169"/>
      <c r="BE107" s="169"/>
      <c r="BF107" s="169"/>
      <c r="BG107" s="169"/>
      <c r="BH107" s="169"/>
      <c r="BI107" s="169"/>
      <c r="BJ107" s="169"/>
      <c r="BK107" s="169"/>
      <c r="BL107" s="169"/>
      <c r="BM107" s="169"/>
      <c r="BN107" s="169"/>
      <c r="BO107" s="169"/>
      <c r="BP107" s="169"/>
      <c r="BQ107" s="169"/>
      <c r="BR107" s="169"/>
    </row>
    <row r="108" spans="1:70" s="139" customFormat="1" x14ac:dyDescent="0.3">
      <c r="A108" s="76"/>
      <c r="B108" s="197">
        <v>104</v>
      </c>
      <c r="C108" s="157" t="s">
        <v>438</v>
      </c>
      <c r="D108" s="131" t="s">
        <v>439</v>
      </c>
      <c r="E108" s="131" t="s">
        <v>249</v>
      </c>
      <c r="F108" s="131" t="s">
        <v>231</v>
      </c>
      <c r="G108" s="131"/>
      <c r="H108" s="131" t="s">
        <v>251</v>
      </c>
      <c r="I108" s="132" t="s">
        <v>233</v>
      </c>
      <c r="J108" s="258" t="b">
        <v>0</v>
      </c>
      <c r="K108" s="207"/>
      <c r="L108" s="258" t="b">
        <v>0</v>
      </c>
      <c r="M108" s="258" t="b">
        <v>0</v>
      </c>
      <c r="N108" s="258" t="b">
        <v>0</v>
      </c>
      <c r="O108" s="258" t="b">
        <v>0</v>
      </c>
      <c r="P108" s="207"/>
      <c r="Q108" s="76"/>
      <c r="R108" s="258" t="b">
        <v>0</v>
      </c>
      <c r="S108" s="131">
        <v>24</v>
      </c>
      <c r="T108" s="258" t="b">
        <v>0</v>
      </c>
      <c r="U108" s="258" t="b">
        <v>0</v>
      </c>
      <c r="V108" s="258" t="b">
        <v>0</v>
      </c>
      <c r="W108" s="163"/>
      <c r="X108" s="258" t="b">
        <v>0</v>
      </c>
      <c r="Z108" s="169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 s="169"/>
      <c r="AW108" s="169"/>
      <c r="AX108" s="169"/>
      <c r="AY108" s="169"/>
      <c r="AZ108" s="169"/>
      <c r="BA108" s="169"/>
      <c r="BB108" s="169"/>
      <c r="BC108" s="169"/>
      <c r="BD108" s="169"/>
      <c r="BE108" s="169"/>
      <c r="BF108" s="169"/>
      <c r="BG108" s="169"/>
      <c r="BH108" s="169"/>
      <c r="BI108" s="169"/>
      <c r="BJ108" s="169"/>
      <c r="BK108" s="169"/>
      <c r="BL108" s="169"/>
      <c r="BM108" s="169"/>
      <c r="BN108" s="169"/>
      <c r="BO108" s="169"/>
      <c r="BP108" s="169"/>
      <c r="BQ108" s="169"/>
      <c r="BR108" s="169"/>
    </row>
    <row r="109" spans="1:70" s="139" customFormat="1" x14ac:dyDescent="0.3">
      <c r="A109" s="76"/>
      <c r="B109" s="73">
        <v>105</v>
      </c>
      <c r="C109" s="130" t="s">
        <v>440</v>
      </c>
      <c r="D109" s="131" t="s">
        <v>441</v>
      </c>
      <c r="E109" s="131" t="s">
        <v>249</v>
      </c>
      <c r="F109" s="131" t="s">
        <v>231</v>
      </c>
      <c r="G109" s="131"/>
      <c r="H109" s="131" t="s">
        <v>251</v>
      </c>
      <c r="I109" s="132" t="s">
        <v>233</v>
      </c>
      <c r="J109" s="258" t="b">
        <v>0</v>
      </c>
      <c r="K109" s="207"/>
      <c r="L109" s="258" t="b">
        <v>0</v>
      </c>
      <c r="M109" s="258" t="b">
        <v>0</v>
      </c>
      <c r="N109" s="258" t="b">
        <v>0</v>
      </c>
      <c r="O109" s="258" t="b">
        <v>0</v>
      </c>
      <c r="P109" s="207"/>
      <c r="Q109" s="76"/>
      <c r="R109" s="258" t="b">
        <v>0</v>
      </c>
      <c r="S109" s="131">
        <v>15</v>
      </c>
      <c r="T109" s="258" t="b">
        <v>0</v>
      </c>
      <c r="U109" s="258" t="b">
        <v>0</v>
      </c>
      <c r="V109" s="258" t="b">
        <v>0</v>
      </c>
      <c r="W109" s="163"/>
      <c r="X109" s="258" t="b">
        <v>0</v>
      </c>
      <c r="Z109" s="16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 s="169"/>
      <c r="AW109" s="169"/>
      <c r="AX109" s="169"/>
      <c r="AY109" s="169"/>
      <c r="AZ109" s="169"/>
      <c r="BA109" s="169"/>
      <c r="BB109" s="169"/>
      <c r="BC109" s="169"/>
      <c r="BD109" s="169"/>
      <c r="BE109" s="169"/>
      <c r="BF109" s="169"/>
      <c r="BG109" s="169"/>
      <c r="BH109" s="169"/>
      <c r="BI109" s="169"/>
      <c r="BJ109" s="169"/>
      <c r="BK109" s="169"/>
      <c r="BL109" s="169"/>
      <c r="BM109" s="169"/>
      <c r="BN109" s="169"/>
      <c r="BO109" s="169"/>
      <c r="BP109" s="169"/>
      <c r="BQ109" s="169"/>
      <c r="BR109" s="169"/>
    </row>
    <row r="110" spans="1:70" s="139" customFormat="1" x14ac:dyDescent="0.3">
      <c r="A110" s="76"/>
      <c r="B110" s="73">
        <v>106</v>
      </c>
      <c r="C110" s="157" t="s">
        <v>442</v>
      </c>
      <c r="D110" s="131" t="s">
        <v>443</v>
      </c>
      <c r="E110" s="131" t="s">
        <v>249</v>
      </c>
      <c r="F110" s="131" t="s">
        <v>231</v>
      </c>
      <c r="G110" s="131"/>
      <c r="H110" s="131" t="s">
        <v>251</v>
      </c>
      <c r="I110" s="132" t="s">
        <v>233</v>
      </c>
      <c r="J110" s="258" t="b">
        <v>0</v>
      </c>
      <c r="K110" s="207"/>
      <c r="L110" s="258" t="b">
        <v>0</v>
      </c>
      <c r="M110" s="258" t="b">
        <v>0</v>
      </c>
      <c r="N110" s="258" t="b">
        <v>0</v>
      </c>
      <c r="O110" s="258" t="b">
        <v>0</v>
      </c>
      <c r="P110" s="207"/>
      <c r="Q110" s="76"/>
      <c r="R110" s="258" t="b">
        <v>0</v>
      </c>
      <c r="S110" s="131">
        <v>23</v>
      </c>
      <c r="T110" s="258" t="b">
        <v>0</v>
      </c>
      <c r="U110" s="258" t="b">
        <v>0</v>
      </c>
      <c r="V110" s="258" t="b">
        <v>0</v>
      </c>
      <c r="W110" s="163"/>
      <c r="X110" s="258" t="b">
        <v>0</v>
      </c>
      <c r="Z110" s="169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</row>
    <row r="111" spans="1:70" s="76" customFormat="1" x14ac:dyDescent="0.3">
      <c r="B111" s="197">
        <v>107</v>
      </c>
      <c r="C111" s="130" t="s">
        <v>444</v>
      </c>
      <c r="D111" s="131" t="s">
        <v>445</v>
      </c>
      <c r="E111" s="131" t="s">
        <v>249</v>
      </c>
      <c r="F111" s="131" t="s">
        <v>231</v>
      </c>
      <c r="G111" s="131"/>
      <c r="H111" s="131" t="s">
        <v>251</v>
      </c>
      <c r="I111" s="132" t="s">
        <v>233</v>
      </c>
      <c r="J111" s="258" t="b">
        <v>0</v>
      </c>
      <c r="K111" s="207"/>
      <c r="L111" s="258" t="b">
        <v>0</v>
      </c>
      <c r="M111" s="258" t="b">
        <v>0</v>
      </c>
      <c r="N111" s="258" t="b">
        <v>0</v>
      </c>
      <c r="O111" s="258" t="b">
        <v>0</v>
      </c>
      <c r="P111" s="207"/>
      <c r="R111" s="258" t="b">
        <v>0</v>
      </c>
      <c r="S111" s="131">
        <v>22</v>
      </c>
      <c r="T111" s="258" t="b">
        <v>0</v>
      </c>
      <c r="U111" s="258" t="b">
        <v>0</v>
      </c>
      <c r="V111" s="258" t="b">
        <v>0</v>
      </c>
      <c r="W111" s="163"/>
      <c r="X111" s="258" t="b">
        <v>0</v>
      </c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spans="1:70" s="76" customFormat="1" x14ac:dyDescent="0.3">
      <c r="B112" s="73">
        <v>108</v>
      </c>
      <c r="C112" s="157" t="s">
        <v>446</v>
      </c>
      <c r="D112" s="131" t="s">
        <v>447</v>
      </c>
      <c r="E112" s="131" t="s">
        <v>249</v>
      </c>
      <c r="F112" s="131" t="s">
        <v>231</v>
      </c>
      <c r="G112" s="131"/>
      <c r="H112" s="131" t="s">
        <v>251</v>
      </c>
      <c r="I112" s="132" t="s">
        <v>233</v>
      </c>
      <c r="J112" s="258" t="b">
        <v>0</v>
      </c>
      <c r="K112" s="207"/>
      <c r="L112" s="258" t="b">
        <v>0</v>
      </c>
      <c r="M112" s="258" t="b">
        <v>0</v>
      </c>
      <c r="N112" s="258" t="b">
        <v>0</v>
      </c>
      <c r="O112" s="258" t="b">
        <v>0</v>
      </c>
      <c r="P112" s="207"/>
      <c r="R112" s="258" t="b">
        <v>0</v>
      </c>
      <c r="S112" s="131">
        <v>23</v>
      </c>
      <c r="T112" s="258" t="b">
        <v>0</v>
      </c>
      <c r="U112" s="258" t="b">
        <v>0</v>
      </c>
      <c r="V112" s="258" t="b">
        <v>0</v>
      </c>
      <c r="W112" s="163"/>
      <c r="X112" s="258" t="b">
        <v>0</v>
      </c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spans="1:70" s="76" customFormat="1" x14ac:dyDescent="0.3">
      <c r="B113" s="73">
        <v>109</v>
      </c>
      <c r="C113" s="130" t="s">
        <v>448</v>
      </c>
      <c r="D113" s="131" t="s">
        <v>449</v>
      </c>
      <c r="E113" s="131" t="s">
        <v>249</v>
      </c>
      <c r="F113" s="131" t="s">
        <v>231</v>
      </c>
      <c r="G113" s="131"/>
      <c r="H113" s="131" t="s">
        <v>251</v>
      </c>
      <c r="I113" s="132" t="s">
        <v>233</v>
      </c>
      <c r="J113" s="258" t="b">
        <v>0</v>
      </c>
      <c r="K113" s="207"/>
      <c r="L113" s="258" t="b">
        <v>0</v>
      </c>
      <c r="M113" s="258" t="b">
        <v>0</v>
      </c>
      <c r="N113" s="258" t="b">
        <v>0</v>
      </c>
      <c r="O113" s="258" t="b">
        <v>0</v>
      </c>
      <c r="P113" s="207"/>
      <c r="R113" s="258" t="b">
        <v>0</v>
      </c>
      <c r="S113" s="131">
        <v>24</v>
      </c>
      <c r="T113" s="258" t="b">
        <v>0</v>
      </c>
      <c r="U113" s="258" t="b">
        <v>0</v>
      </c>
      <c r="V113" s="258" t="b">
        <v>0</v>
      </c>
      <c r="W113" s="163"/>
      <c r="X113" s="258" t="b">
        <v>0</v>
      </c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spans="1:70" s="76" customFormat="1" x14ac:dyDescent="0.3">
      <c r="B114" s="197">
        <v>110</v>
      </c>
      <c r="C114" s="130" t="s">
        <v>450</v>
      </c>
      <c r="D114" s="131" t="s">
        <v>451</v>
      </c>
      <c r="E114" s="131" t="s">
        <v>249</v>
      </c>
      <c r="F114" s="131" t="s">
        <v>231</v>
      </c>
      <c r="G114" s="131"/>
      <c r="H114" s="131" t="s">
        <v>251</v>
      </c>
      <c r="I114" s="132" t="s">
        <v>233</v>
      </c>
      <c r="J114" s="258" t="b">
        <v>0</v>
      </c>
      <c r="K114" s="207"/>
      <c r="L114" s="258" t="b">
        <v>0</v>
      </c>
      <c r="M114" s="258" t="b">
        <v>0</v>
      </c>
      <c r="N114" s="258" t="b">
        <v>0</v>
      </c>
      <c r="O114" s="258" t="b">
        <v>0</v>
      </c>
      <c r="P114" s="207"/>
      <c r="R114" s="258" t="b">
        <v>0</v>
      </c>
      <c r="S114" s="131">
        <v>47</v>
      </c>
      <c r="T114" s="258" t="b">
        <v>0</v>
      </c>
      <c r="U114" s="258" t="b">
        <v>0</v>
      </c>
      <c r="V114" s="258" t="b">
        <v>0</v>
      </c>
      <c r="W114" s="163"/>
      <c r="X114" s="258" t="b">
        <v>0</v>
      </c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spans="1:70" s="76" customFormat="1" x14ac:dyDescent="0.3">
      <c r="B115" s="73">
        <v>111</v>
      </c>
      <c r="C115" s="130" t="s">
        <v>452</v>
      </c>
      <c r="D115" s="131" t="s">
        <v>453</v>
      </c>
      <c r="E115" s="131" t="s">
        <v>249</v>
      </c>
      <c r="F115" s="131" t="s">
        <v>231</v>
      </c>
      <c r="G115" s="131"/>
      <c r="H115" s="131" t="s">
        <v>16</v>
      </c>
      <c r="I115" s="132" t="s">
        <v>233</v>
      </c>
      <c r="J115" s="258" t="b">
        <v>0</v>
      </c>
      <c r="K115" s="207"/>
      <c r="L115" s="258" t="b">
        <v>0</v>
      </c>
      <c r="M115" s="258" t="b">
        <v>0</v>
      </c>
      <c r="N115" s="258" t="b">
        <v>0</v>
      </c>
      <c r="O115" s="258" t="b">
        <v>0</v>
      </c>
      <c r="P115" s="207"/>
      <c r="R115" s="258" t="b">
        <v>0</v>
      </c>
      <c r="S115" s="131">
        <v>47</v>
      </c>
      <c r="T115" s="258" t="b">
        <v>0</v>
      </c>
      <c r="U115" s="258" t="b">
        <v>0</v>
      </c>
      <c r="V115" s="258" t="b">
        <v>0</v>
      </c>
      <c r="W115" s="163"/>
      <c r="X115" s="258" t="b">
        <v>0</v>
      </c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spans="1:70" s="76" customFormat="1" x14ac:dyDescent="0.3">
      <c r="B116" s="73">
        <v>112</v>
      </c>
      <c r="C116" s="130" t="s">
        <v>454</v>
      </c>
      <c r="D116" s="131" t="s">
        <v>455</v>
      </c>
      <c r="E116" s="131" t="s">
        <v>249</v>
      </c>
      <c r="F116" s="131" t="s">
        <v>231</v>
      </c>
      <c r="G116" s="131"/>
      <c r="H116" s="131" t="s">
        <v>16</v>
      </c>
      <c r="I116" s="132" t="s">
        <v>233</v>
      </c>
      <c r="J116" s="258" t="b">
        <v>0</v>
      </c>
      <c r="K116" s="207"/>
      <c r="L116" s="258" t="b">
        <v>0</v>
      </c>
      <c r="M116" s="258" t="b">
        <v>0</v>
      </c>
      <c r="N116" s="258" t="b">
        <v>0</v>
      </c>
      <c r="O116" s="258" t="b">
        <v>0</v>
      </c>
      <c r="P116" s="207"/>
      <c r="R116" s="258" t="b">
        <v>0</v>
      </c>
      <c r="S116" s="131">
        <v>47</v>
      </c>
      <c r="T116" s="258" t="b">
        <v>0</v>
      </c>
      <c r="U116" s="258" t="b">
        <v>0</v>
      </c>
      <c r="V116" s="258" t="b">
        <v>0</v>
      </c>
      <c r="W116" s="163"/>
      <c r="X116" s="258" t="b">
        <v>0</v>
      </c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spans="1:70" s="76" customFormat="1" x14ac:dyDescent="0.3">
      <c r="B117" s="197">
        <v>113</v>
      </c>
      <c r="C117" s="130" t="s">
        <v>456</v>
      </c>
      <c r="D117" s="131" t="s">
        <v>457</v>
      </c>
      <c r="E117" s="131" t="s">
        <v>249</v>
      </c>
      <c r="F117" s="131" t="s">
        <v>231</v>
      </c>
      <c r="G117" s="131"/>
      <c r="H117" s="131" t="s">
        <v>251</v>
      </c>
      <c r="I117" s="132" t="s">
        <v>233</v>
      </c>
      <c r="J117" s="258" t="b">
        <v>0</v>
      </c>
      <c r="K117" s="207"/>
      <c r="L117" s="258" t="b">
        <v>0</v>
      </c>
      <c r="M117" s="258" t="b">
        <v>0</v>
      </c>
      <c r="N117" s="258" t="b">
        <v>0</v>
      </c>
      <c r="O117" s="258" t="b">
        <v>0</v>
      </c>
      <c r="P117" s="207"/>
      <c r="R117" s="258" t="b">
        <v>0</v>
      </c>
      <c r="S117" s="131">
        <v>27</v>
      </c>
      <c r="T117" s="258" t="b">
        <v>0</v>
      </c>
      <c r="U117" s="258" t="b">
        <v>0</v>
      </c>
      <c r="V117" s="258" t="b">
        <v>0</v>
      </c>
      <c r="W117" s="163"/>
      <c r="X117" s="258" t="b">
        <v>0</v>
      </c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spans="1:70" s="76" customFormat="1" x14ac:dyDescent="0.3">
      <c r="B118" s="73">
        <v>114</v>
      </c>
      <c r="C118" s="241" t="s">
        <v>458</v>
      </c>
      <c r="D118" s="131" t="s">
        <v>459</v>
      </c>
      <c r="E118" s="131" t="s">
        <v>249</v>
      </c>
      <c r="F118" s="131" t="s">
        <v>231</v>
      </c>
      <c r="G118" s="131"/>
      <c r="H118" s="131" t="s">
        <v>251</v>
      </c>
      <c r="I118" s="132" t="s">
        <v>233</v>
      </c>
      <c r="J118" s="258" t="b">
        <v>0</v>
      </c>
      <c r="K118" s="207"/>
      <c r="L118" s="258" t="b">
        <v>0</v>
      </c>
      <c r="M118" s="258" t="b">
        <v>0</v>
      </c>
      <c r="N118" s="258" t="b">
        <v>0</v>
      </c>
      <c r="O118" s="258" t="b">
        <v>0</v>
      </c>
      <c r="P118" s="207"/>
      <c r="R118" s="258" t="b">
        <v>0</v>
      </c>
      <c r="S118" s="131"/>
      <c r="T118" s="258" t="b">
        <v>0</v>
      </c>
      <c r="U118" s="258" t="b">
        <v>0</v>
      </c>
      <c r="V118" s="258" t="b">
        <v>0</v>
      </c>
      <c r="W118" s="163"/>
      <c r="X118" s="258" t="b">
        <v>0</v>
      </c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spans="1:70" s="76" customFormat="1" x14ac:dyDescent="0.3">
      <c r="B119" s="73">
        <v>115</v>
      </c>
      <c r="C119" s="134"/>
      <c r="D119" s="133" t="s">
        <v>460</v>
      </c>
      <c r="E119" s="133" t="s">
        <v>249</v>
      </c>
      <c r="F119" s="133" t="s">
        <v>231</v>
      </c>
      <c r="G119" s="133"/>
      <c r="H119" s="133" t="s">
        <v>251</v>
      </c>
      <c r="I119" s="135"/>
      <c r="J119" s="258" t="b">
        <v>0</v>
      </c>
      <c r="K119" s="207"/>
      <c r="L119" s="258" t="b">
        <v>0</v>
      </c>
      <c r="M119" s="258" t="b">
        <v>0</v>
      </c>
      <c r="N119" s="258" t="b">
        <v>0</v>
      </c>
      <c r="O119" s="258" t="b">
        <v>0</v>
      </c>
      <c r="P119" s="207"/>
      <c r="R119" s="258" t="b">
        <v>0</v>
      </c>
      <c r="S119" s="131"/>
      <c r="T119" s="258" t="b">
        <v>0</v>
      </c>
      <c r="U119" s="258" t="b">
        <v>0</v>
      </c>
      <c r="V119" s="258" t="b">
        <v>0</v>
      </c>
      <c r="W119" s="163"/>
      <c r="X119" s="258" t="b">
        <v>0</v>
      </c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spans="1:70" s="76" customFormat="1" x14ac:dyDescent="0.3">
      <c r="B120" s="197">
        <v>116</v>
      </c>
      <c r="C120" s="134" t="s">
        <v>461</v>
      </c>
      <c r="D120" s="133" t="s">
        <v>462</v>
      </c>
      <c r="E120" s="133" t="s">
        <v>249</v>
      </c>
      <c r="F120" s="133" t="s">
        <v>231</v>
      </c>
      <c r="G120" s="133"/>
      <c r="H120" s="133" t="s">
        <v>251</v>
      </c>
      <c r="I120" s="135" t="s">
        <v>233</v>
      </c>
      <c r="J120" s="258" t="b">
        <v>0</v>
      </c>
      <c r="K120" s="207"/>
      <c r="L120" s="258" t="b">
        <v>0</v>
      </c>
      <c r="M120" s="258" t="b">
        <v>0</v>
      </c>
      <c r="N120" s="258" t="b">
        <v>0</v>
      </c>
      <c r="O120" s="258" t="b">
        <v>0</v>
      </c>
      <c r="P120" s="207"/>
      <c r="R120" s="258" t="b">
        <v>0</v>
      </c>
      <c r="S120" s="131">
        <v>22</v>
      </c>
      <c r="T120" s="258" t="b">
        <v>0</v>
      </c>
      <c r="U120" s="258" t="b">
        <v>0</v>
      </c>
      <c r="V120" s="258" t="b">
        <v>0</v>
      </c>
      <c r="W120" s="163"/>
      <c r="X120" s="258" t="b">
        <v>0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spans="1:70" s="76" customFormat="1" x14ac:dyDescent="0.3">
      <c r="B121" s="73">
        <v>117</v>
      </c>
      <c r="C121" s="157" t="s">
        <v>463</v>
      </c>
      <c r="D121" s="131" t="s">
        <v>464</v>
      </c>
      <c r="E121" s="131" t="s">
        <v>249</v>
      </c>
      <c r="F121" s="131" t="s">
        <v>231</v>
      </c>
      <c r="G121" s="131"/>
      <c r="H121" s="131" t="s">
        <v>251</v>
      </c>
      <c r="I121" s="132" t="s">
        <v>233</v>
      </c>
      <c r="J121" s="258" t="b">
        <v>0</v>
      </c>
      <c r="K121" s="207"/>
      <c r="L121" s="258" t="b">
        <v>0</v>
      </c>
      <c r="M121" s="258" t="b">
        <v>0</v>
      </c>
      <c r="N121" s="258" t="b">
        <v>0</v>
      </c>
      <c r="O121" s="258" t="b">
        <v>0</v>
      </c>
      <c r="P121" s="207"/>
      <c r="R121" s="258" t="b">
        <v>0</v>
      </c>
      <c r="S121" s="131">
        <v>10</v>
      </c>
      <c r="T121" s="258" t="b">
        <v>0</v>
      </c>
      <c r="U121" s="258" t="b">
        <v>0</v>
      </c>
      <c r="V121" s="258" t="b">
        <v>0</v>
      </c>
      <c r="W121" s="163"/>
      <c r="X121" s="258" t="b">
        <v>0</v>
      </c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spans="1:70" s="76" customFormat="1" x14ac:dyDescent="0.3">
      <c r="B122" s="73">
        <v>118</v>
      </c>
      <c r="C122" s="157" t="s">
        <v>465</v>
      </c>
      <c r="D122" s="131" t="s">
        <v>466</v>
      </c>
      <c r="E122" s="131" t="s">
        <v>249</v>
      </c>
      <c r="F122" s="131" t="s">
        <v>231</v>
      </c>
      <c r="G122" s="131"/>
      <c r="H122" s="131" t="s">
        <v>251</v>
      </c>
      <c r="I122" s="132" t="s">
        <v>233</v>
      </c>
      <c r="J122" s="258" t="b">
        <v>0</v>
      </c>
      <c r="K122" s="207"/>
      <c r="L122" s="258" t="b">
        <v>0</v>
      </c>
      <c r="M122" s="258" t="b">
        <v>0</v>
      </c>
      <c r="N122" s="258" t="b">
        <v>0</v>
      </c>
      <c r="O122" s="258" t="b">
        <v>0</v>
      </c>
      <c r="P122" s="207"/>
      <c r="R122" s="258" t="b">
        <v>0</v>
      </c>
      <c r="S122" s="131">
        <v>11</v>
      </c>
      <c r="T122" s="258" t="b">
        <v>0</v>
      </c>
      <c r="U122" s="258" t="b">
        <v>0</v>
      </c>
      <c r="V122" s="258" t="b">
        <v>0</v>
      </c>
      <c r="W122" s="163"/>
      <c r="X122" s="258" t="b">
        <v>0</v>
      </c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spans="1:70" s="136" customFormat="1" x14ac:dyDescent="0.3">
      <c r="A123" s="76"/>
      <c r="B123" s="197">
        <v>119</v>
      </c>
      <c r="C123" s="157" t="s">
        <v>467</v>
      </c>
      <c r="D123" s="131" t="s">
        <v>468</v>
      </c>
      <c r="E123" s="131" t="s">
        <v>249</v>
      </c>
      <c r="F123" s="131" t="s">
        <v>231</v>
      </c>
      <c r="G123" s="131"/>
      <c r="H123" s="131" t="s">
        <v>251</v>
      </c>
      <c r="I123" s="132" t="s">
        <v>233</v>
      </c>
      <c r="J123" s="258" t="b">
        <v>0</v>
      </c>
      <c r="K123" s="207"/>
      <c r="L123" s="258" t="b">
        <v>0</v>
      </c>
      <c r="M123" s="258" t="b">
        <v>0</v>
      </c>
      <c r="N123" s="258" t="b">
        <v>0</v>
      </c>
      <c r="O123" s="258" t="b">
        <v>0</v>
      </c>
      <c r="P123" s="207"/>
      <c r="R123" s="258" t="b">
        <v>0</v>
      </c>
      <c r="S123" s="131"/>
      <c r="T123" s="258" t="b">
        <v>0</v>
      </c>
      <c r="U123" s="258" t="b">
        <v>0</v>
      </c>
      <c r="V123" s="258" t="b">
        <v>0</v>
      </c>
      <c r="W123" s="163"/>
      <c r="X123" s="258" t="b">
        <v>0</v>
      </c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spans="1:70" s="76" customFormat="1" x14ac:dyDescent="0.3">
      <c r="B124" s="73">
        <v>120</v>
      </c>
      <c r="C124" s="157" t="s">
        <v>469</v>
      </c>
      <c r="D124" s="131" t="s">
        <v>470</v>
      </c>
      <c r="E124" s="131" t="s">
        <v>249</v>
      </c>
      <c r="F124" s="131" t="s">
        <v>231</v>
      </c>
      <c r="G124" s="131"/>
      <c r="H124" s="131" t="s">
        <v>251</v>
      </c>
      <c r="I124" s="132" t="s">
        <v>233</v>
      </c>
      <c r="J124" s="258" t="b">
        <v>0</v>
      </c>
      <c r="K124" s="207"/>
      <c r="L124" s="258" t="b">
        <v>0</v>
      </c>
      <c r="M124" s="258" t="b">
        <v>0</v>
      </c>
      <c r="N124" s="258" t="b">
        <v>0</v>
      </c>
      <c r="O124" s="258" t="b">
        <v>0</v>
      </c>
      <c r="P124" s="207"/>
      <c r="R124" s="258" t="b">
        <v>0</v>
      </c>
      <c r="S124" s="131">
        <v>13</v>
      </c>
      <c r="T124" s="258" t="b">
        <v>0</v>
      </c>
      <c r="U124" s="258" t="b">
        <v>0</v>
      </c>
      <c r="V124" s="258" t="b">
        <v>0</v>
      </c>
      <c r="W124" s="163"/>
      <c r="X124" s="258" t="b">
        <v>0</v>
      </c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spans="1:70" s="138" customFormat="1" x14ac:dyDescent="0.3">
      <c r="A125" s="76"/>
      <c r="B125" s="73">
        <v>121</v>
      </c>
      <c r="C125" s="157" t="s">
        <v>471</v>
      </c>
      <c r="D125" s="131" t="s">
        <v>472</v>
      </c>
      <c r="E125" s="131" t="s">
        <v>249</v>
      </c>
      <c r="F125" s="131" t="s">
        <v>231</v>
      </c>
      <c r="G125" s="131"/>
      <c r="H125" s="131" t="s">
        <v>251</v>
      </c>
      <c r="I125" s="132" t="s">
        <v>233</v>
      </c>
      <c r="J125" s="258" t="b">
        <v>0</v>
      </c>
      <c r="K125" s="207"/>
      <c r="L125" s="258" t="b">
        <v>0</v>
      </c>
      <c r="M125" s="258" t="b">
        <v>0</v>
      </c>
      <c r="N125" s="258" t="b">
        <v>0</v>
      </c>
      <c r="O125" s="258" t="b">
        <v>0</v>
      </c>
      <c r="P125" s="207"/>
      <c r="Q125" s="76"/>
      <c r="R125" s="258" t="b">
        <v>0</v>
      </c>
      <c r="S125" s="131"/>
      <c r="T125" s="258" t="b">
        <v>0</v>
      </c>
      <c r="U125" s="258" t="b">
        <v>0</v>
      </c>
      <c r="V125" s="258" t="b">
        <v>0</v>
      </c>
      <c r="W125" s="163" t="s">
        <v>647</v>
      </c>
      <c r="X125" s="258" t="b">
        <v>0</v>
      </c>
      <c r="Z125" s="76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</row>
    <row r="126" spans="1:70" s="138" customFormat="1" x14ac:dyDescent="0.3">
      <c r="A126" s="76"/>
      <c r="B126" s="197">
        <v>122</v>
      </c>
      <c r="C126" s="157" t="s">
        <v>473</v>
      </c>
      <c r="D126" s="131" t="s">
        <v>474</v>
      </c>
      <c r="E126" s="131" t="s">
        <v>249</v>
      </c>
      <c r="F126" s="131" t="s">
        <v>231</v>
      </c>
      <c r="G126" s="131"/>
      <c r="H126" s="131" t="s">
        <v>251</v>
      </c>
      <c r="I126" s="132" t="s">
        <v>233</v>
      </c>
      <c r="J126" s="258" t="b">
        <v>0</v>
      </c>
      <c r="K126" s="207"/>
      <c r="L126" s="258" t="b">
        <v>0</v>
      </c>
      <c r="M126" s="258" t="b">
        <v>0</v>
      </c>
      <c r="N126" s="258" t="b">
        <v>0</v>
      </c>
      <c r="O126" s="258" t="b">
        <v>0</v>
      </c>
      <c r="P126" s="207"/>
      <c r="Q126" s="76"/>
      <c r="R126" s="258" t="b">
        <v>0</v>
      </c>
      <c r="S126" s="131"/>
      <c r="T126" s="258" t="b">
        <v>0</v>
      </c>
      <c r="U126" s="258" t="b">
        <v>0</v>
      </c>
      <c r="V126" s="258" t="b">
        <v>0</v>
      </c>
      <c r="W126" s="163"/>
      <c r="X126" s="258" t="b">
        <v>0</v>
      </c>
      <c r="Z126" s="7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</row>
    <row r="127" spans="1:70" s="138" customFormat="1" x14ac:dyDescent="0.3">
      <c r="A127" s="76"/>
      <c r="B127" s="73">
        <v>123</v>
      </c>
      <c r="C127" s="130" t="s">
        <v>475</v>
      </c>
      <c r="D127" s="131" t="s">
        <v>476</v>
      </c>
      <c r="E127" s="131" t="s">
        <v>249</v>
      </c>
      <c r="F127" s="131" t="s">
        <v>231</v>
      </c>
      <c r="G127" s="131"/>
      <c r="H127" s="131" t="s">
        <v>251</v>
      </c>
      <c r="I127" s="132" t="s">
        <v>233</v>
      </c>
      <c r="J127" s="258" t="b">
        <v>0</v>
      </c>
      <c r="K127" s="207"/>
      <c r="L127" s="258" t="b">
        <v>0</v>
      </c>
      <c r="M127" s="258" t="b">
        <v>0</v>
      </c>
      <c r="N127" s="258" t="b">
        <v>0</v>
      </c>
      <c r="O127" s="258" t="b">
        <v>0</v>
      </c>
      <c r="P127" s="207"/>
      <c r="Q127" s="76"/>
      <c r="R127" s="258" t="b">
        <v>0</v>
      </c>
      <c r="S127" s="131">
        <v>50</v>
      </c>
      <c r="T127" s="258" t="b">
        <v>0</v>
      </c>
      <c r="U127" s="258" t="b">
        <v>0</v>
      </c>
      <c r="V127" s="258" t="b">
        <v>0</v>
      </c>
      <c r="W127" s="163"/>
      <c r="X127" s="258" t="b">
        <v>0</v>
      </c>
      <c r="Z127" s="76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</row>
    <row r="128" spans="1:70" s="138" customFormat="1" x14ac:dyDescent="0.3">
      <c r="A128" s="76"/>
      <c r="B128" s="73">
        <v>124</v>
      </c>
      <c r="C128" s="157" t="s">
        <v>477</v>
      </c>
      <c r="D128" s="131" t="s">
        <v>478</v>
      </c>
      <c r="E128" s="131" t="s">
        <v>249</v>
      </c>
      <c r="F128" s="131" t="s">
        <v>231</v>
      </c>
      <c r="G128" s="131"/>
      <c r="H128" s="131" t="s">
        <v>251</v>
      </c>
      <c r="I128" s="132" t="s">
        <v>233</v>
      </c>
      <c r="J128" s="258" t="b">
        <v>0</v>
      </c>
      <c r="K128" s="207"/>
      <c r="L128" s="258" t="b">
        <v>0</v>
      </c>
      <c r="M128" s="258" t="b">
        <v>0</v>
      </c>
      <c r="N128" s="258" t="b">
        <v>0</v>
      </c>
      <c r="O128" s="258" t="b">
        <v>0</v>
      </c>
      <c r="P128" s="207"/>
      <c r="Q128" s="76"/>
      <c r="R128" s="258" t="b">
        <v>0</v>
      </c>
      <c r="S128" s="131">
        <v>25</v>
      </c>
      <c r="T128" s="258" t="b">
        <v>0</v>
      </c>
      <c r="U128" s="258" t="b">
        <v>0</v>
      </c>
      <c r="V128" s="258" t="b">
        <v>0</v>
      </c>
      <c r="W128" s="163"/>
      <c r="X128" s="258" t="b">
        <v>0</v>
      </c>
      <c r="Z128" s="76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</row>
    <row r="129" spans="1:70" s="138" customFormat="1" x14ac:dyDescent="0.3">
      <c r="A129" s="76"/>
      <c r="B129" s="197">
        <v>125</v>
      </c>
      <c r="C129" s="157" t="s">
        <v>479</v>
      </c>
      <c r="D129" s="131" t="s">
        <v>480</v>
      </c>
      <c r="E129" s="131" t="s">
        <v>249</v>
      </c>
      <c r="F129" s="131" t="s">
        <v>231</v>
      </c>
      <c r="G129" s="131"/>
      <c r="H129" s="131" t="s">
        <v>251</v>
      </c>
      <c r="I129" s="132" t="s">
        <v>233</v>
      </c>
      <c r="J129" s="258" t="b">
        <v>0</v>
      </c>
      <c r="K129" s="207"/>
      <c r="L129" s="258" t="b">
        <v>0</v>
      </c>
      <c r="M129" s="258" t="b">
        <v>0</v>
      </c>
      <c r="N129" s="258" t="b">
        <v>0</v>
      </c>
      <c r="O129" s="258" t="b">
        <v>0</v>
      </c>
      <c r="P129" s="207"/>
      <c r="Q129" s="76"/>
      <c r="R129" s="258" t="b">
        <v>0</v>
      </c>
      <c r="S129" s="131">
        <v>23</v>
      </c>
      <c r="T129" s="258" t="b">
        <v>0</v>
      </c>
      <c r="U129" s="258" t="b">
        <v>0</v>
      </c>
      <c r="V129" s="258" t="b">
        <v>0</v>
      </c>
      <c r="W129" s="163"/>
      <c r="X129" s="258" t="b">
        <v>0</v>
      </c>
      <c r="Z129" s="76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</row>
    <row r="130" spans="1:70" s="138" customFormat="1" x14ac:dyDescent="0.3">
      <c r="A130" s="76"/>
      <c r="B130" s="73">
        <v>126</v>
      </c>
      <c r="C130" s="157" t="s">
        <v>537</v>
      </c>
      <c r="D130" s="254"/>
      <c r="E130" s="144"/>
      <c r="F130" s="133"/>
      <c r="G130" s="133"/>
      <c r="H130" s="133"/>
      <c r="I130" s="135"/>
      <c r="J130" s="258" t="b">
        <v>0</v>
      </c>
      <c r="K130" s="207"/>
      <c r="L130" s="258" t="b">
        <v>0</v>
      </c>
      <c r="M130" s="258" t="b">
        <v>0</v>
      </c>
      <c r="N130" s="258" t="b">
        <v>0</v>
      </c>
      <c r="O130" s="258" t="b">
        <v>0</v>
      </c>
      <c r="P130" s="207"/>
      <c r="Q130" s="76"/>
      <c r="R130" s="258" t="b">
        <v>0</v>
      </c>
      <c r="S130" s="131">
        <v>27</v>
      </c>
      <c r="T130" s="258" t="b">
        <v>0</v>
      </c>
      <c r="U130" s="258" t="b">
        <v>0</v>
      </c>
      <c r="V130" s="258" t="b">
        <v>0</v>
      </c>
      <c r="W130" s="163"/>
      <c r="X130" s="258" t="b">
        <v>0</v>
      </c>
      <c r="Z130" s="76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</row>
    <row r="131" spans="1:70" s="138" customFormat="1" x14ac:dyDescent="0.3">
      <c r="A131" s="76"/>
      <c r="B131" s="73">
        <v>127</v>
      </c>
      <c r="C131" s="143" t="s">
        <v>538</v>
      </c>
      <c r="D131" s="143"/>
      <c r="E131" s="144"/>
      <c r="F131" s="133"/>
      <c r="G131" s="133"/>
      <c r="H131" s="133"/>
      <c r="I131" s="135"/>
      <c r="J131" s="258" t="b">
        <v>0</v>
      </c>
      <c r="K131" s="207"/>
      <c r="L131" s="258" t="b">
        <v>0</v>
      </c>
      <c r="M131" s="258" t="b">
        <v>0</v>
      </c>
      <c r="N131" s="258" t="b">
        <v>0</v>
      </c>
      <c r="O131" s="258" t="b">
        <v>0</v>
      </c>
      <c r="P131" s="207"/>
      <c r="Q131" s="76"/>
      <c r="R131" s="258" t="b">
        <v>0</v>
      </c>
      <c r="S131" s="200" t="s">
        <v>536</v>
      </c>
      <c r="T131" s="258" t="b">
        <v>0</v>
      </c>
      <c r="U131" s="258" t="b">
        <v>0</v>
      </c>
      <c r="V131" s="258" t="b">
        <v>0</v>
      </c>
      <c r="W131" s="205" t="s">
        <v>536</v>
      </c>
      <c r="X131" s="258" t="b">
        <v>0</v>
      </c>
      <c r="Z131" s="76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</row>
    <row r="132" spans="1:70" s="76" customFormat="1" x14ac:dyDescent="0.3">
      <c r="B132" s="215">
        <v>128</v>
      </c>
      <c r="C132" s="216" t="s">
        <v>540</v>
      </c>
      <c r="D132" s="255"/>
      <c r="E132" s="144"/>
      <c r="F132" s="144"/>
      <c r="G132" s="144"/>
      <c r="H132" s="144"/>
      <c r="I132" s="145" t="s">
        <v>541</v>
      </c>
      <c r="J132" s="258" t="b">
        <v>0</v>
      </c>
      <c r="K132" s="207"/>
      <c r="L132" s="258" t="b">
        <v>0</v>
      </c>
      <c r="M132" s="258" t="b">
        <v>0</v>
      </c>
      <c r="N132" s="258" t="b">
        <v>0</v>
      </c>
      <c r="O132" s="258" t="b">
        <v>0</v>
      </c>
      <c r="P132" s="207"/>
      <c r="R132" s="258" t="b">
        <v>0</v>
      </c>
      <c r="S132" s="144">
        <v>54</v>
      </c>
      <c r="T132" s="258" t="b">
        <v>0</v>
      </c>
      <c r="U132" s="258" t="b">
        <v>0</v>
      </c>
      <c r="V132" s="258" t="b">
        <v>0</v>
      </c>
      <c r="W132" s="203"/>
      <c r="X132" s="258" t="b">
        <v>0</v>
      </c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spans="1:70" s="76" customFormat="1" x14ac:dyDescent="0.3">
      <c r="B133" s="215">
        <v>129</v>
      </c>
      <c r="C133" s="217" t="s">
        <v>542</v>
      </c>
      <c r="D133" s="217"/>
      <c r="E133" s="144"/>
      <c r="F133" s="144"/>
      <c r="G133" s="144"/>
      <c r="H133" s="144"/>
      <c r="I133" s="145" t="s">
        <v>543</v>
      </c>
      <c r="J133" s="258" t="b">
        <v>0</v>
      </c>
      <c r="K133" s="207"/>
      <c r="L133" s="258" t="b">
        <v>0</v>
      </c>
      <c r="M133" s="258" t="b">
        <v>0</v>
      </c>
      <c r="N133" s="258" t="b">
        <v>0</v>
      </c>
      <c r="O133" s="258" t="b">
        <v>0</v>
      </c>
      <c r="P133" s="207"/>
      <c r="R133" s="258" t="b">
        <v>0</v>
      </c>
      <c r="S133" s="144">
        <v>45</v>
      </c>
      <c r="T133" s="258" t="b">
        <v>0</v>
      </c>
      <c r="U133" s="258" t="b">
        <v>0</v>
      </c>
      <c r="V133" s="258" t="b">
        <v>0</v>
      </c>
      <c r="W133" s="203"/>
      <c r="X133" s="258" t="b">
        <v>0</v>
      </c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</sheetData>
  <autoFilter ref="R4:Y32" xr:uid="{8EB7397B-86D6-43D3-BEE3-76DB9EFEFA6B}"/>
  <mergeCells count="3">
    <mergeCell ref="J2:Y2"/>
    <mergeCell ref="J3:P3"/>
    <mergeCell ref="R3:Y3"/>
  </mergeCells>
  <phoneticPr fontId="3" type="noConversion"/>
  <conditionalFormatting sqref="C1:D4 C130:D1048576 C5:C129">
    <cfRule type="duplicateValues" dxfId="20" priority="314"/>
  </conditionalFormatting>
  <conditionalFormatting sqref="M4:O4">
    <cfRule type="containsText" dxfId="19" priority="1070" operator="containsText" text="CONECTADO">
      <formula>NOT(ISERROR(SEARCH("CONECTADO",M4)))</formula>
    </cfRule>
    <cfRule type="containsText" dxfId="18" priority="1071" operator="containsText" text="CABLEADO">
      <formula>NOT(ISERROR(SEARCH("CABLEADO",M4)))</formula>
    </cfRule>
    <cfRule type="containsText" dxfId="17" priority="1072" operator="containsText" text="INSTALADO">
      <formula>NOT(ISERROR(SEARCH("INSTALADO",M4)))</formula>
    </cfRule>
  </conditionalFormatting>
  <conditionalFormatting sqref="R5:V133">
    <cfRule type="containsText" dxfId="16" priority="4" operator="containsText" text="CONECTADO">
      <formula>NOT(ISERROR(SEARCH("CONECTADO",R5)))</formula>
    </cfRule>
    <cfRule type="containsText" dxfId="15" priority="5" operator="containsText" text="CABLEADO">
      <formula>NOT(ISERROR(SEARCH("CABLEADO",R5)))</formula>
    </cfRule>
    <cfRule type="containsText" dxfId="14" priority="6" operator="containsText" text="INSTALADO">
      <formula>NOT(ISERROR(SEARCH("INSTALADO",R5)))</formula>
    </cfRule>
  </conditionalFormatting>
  <conditionalFormatting sqref="S5:T23 W5:W23 S80:T95 W80:W95">
    <cfRule type="containsText" dxfId="13" priority="13" operator="containsText" text="CABLEADO">
      <formula>NOT(ISERROR(SEARCH("CABLEADO",S5)))</formula>
    </cfRule>
    <cfRule type="containsText" dxfId="12" priority="14" operator="containsText" text="INSTALADO">
      <formula>NOT(ISERROR(SEARCH("INSTALADO",S5)))</formula>
    </cfRule>
    <cfRule type="containsText" dxfId="11" priority="15" operator="containsText" text="CONECTADO">
      <formula>NOT(ISERROR(SEARCH("CONECTADO",S5)))</formula>
    </cfRule>
  </conditionalFormatting>
  <conditionalFormatting sqref="S5:T133 W5:W133">
    <cfRule type="containsText" dxfId="10" priority="28" operator="containsText" text="LISTO">
      <formula>NOT(ISERROR(SEARCH("LISTO",S5)))</formula>
    </cfRule>
  </conditionalFormatting>
  <conditionalFormatting sqref="S4:Y4 P4:P5 K4:L133 J5:J133 L5:P133 S26:T27 W26:W27 S31:T31 W31 S37:T37 W37 S43:T57 W43:W57 S59:T59 W59 S62:T75 W62:W75 S131:T131 W131">
    <cfRule type="containsText" dxfId="9" priority="16" operator="containsText" text="CONECTADO">
      <formula>NOT(ISERROR(SEARCH("CONECTADO",J4)))</formula>
    </cfRule>
    <cfRule type="containsText" dxfId="8" priority="17" operator="containsText" text="CABLEADO">
      <formula>NOT(ISERROR(SEARCH("CABLEADO",J4)))</formula>
    </cfRule>
    <cfRule type="containsText" dxfId="7" priority="18" operator="containsText" text="INSTALADO">
      <formula>NOT(ISERROR(SEARCH("INSTALADO",J4)))</formula>
    </cfRule>
  </conditionalFormatting>
  <conditionalFormatting sqref="X5:X133">
    <cfRule type="containsText" dxfId="6" priority="1" operator="containsText" text="CONECTADO">
      <formula>NOT(ISERROR(SEARCH("CONECTADO",X5)))</formula>
    </cfRule>
    <cfRule type="containsText" dxfId="5" priority="2" operator="containsText" text="CABLEADO">
      <formula>NOT(ISERROR(SEARCH("CABLEADO",X5)))</formula>
    </cfRule>
    <cfRule type="containsText" dxfId="4" priority="3" operator="containsText" text="INSTALADO">
      <formula>NOT(ISERROR(SEARCH("INSTALADO",X5)))</formula>
    </cfRule>
  </conditionalFormatting>
  <pageMargins left="0.7" right="0.7" top="0.75" bottom="0.75" header="0.3" footer="0.3"/>
  <pageSetup scale="72" fitToHeight="0" orientation="portrait" r:id="rId1"/>
  <headerFooter>
    <oddHeader>&amp;R&amp;"Calibri"&amp;10&amp;K000000 Internal&amp;1#_x000D_</oddHeader>
  </headerFooter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64FC-ACE3-4CA8-8A03-D79A9D094C50}">
  <dimension ref="B1:K38"/>
  <sheetViews>
    <sheetView workbookViewId="0">
      <selection activeCell="K23" sqref="K23"/>
    </sheetView>
  </sheetViews>
  <sheetFormatPr baseColWidth="10" defaultRowHeight="14.4" x14ac:dyDescent="0.3"/>
  <cols>
    <col min="1" max="2" width="4.5546875" customWidth="1"/>
    <col min="3" max="3" width="15.33203125" customWidth="1"/>
    <col min="4" max="9" width="10.77734375" style="1" customWidth="1"/>
  </cols>
  <sheetData>
    <row r="1" spans="2:11" ht="15" thickBot="1" x14ac:dyDescent="0.35"/>
    <row r="2" spans="2:11" ht="15" customHeight="1" thickBot="1" x14ac:dyDescent="0.35">
      <c r="B2" s="299" t="s">
        <v>70</v>
      </c>
      <c r="C2" s="296" t="s">
        <v>11</v>
      </c>
      <c r="D2" s="296"/>
      <c r="E2" s="296"/>
      <c r="F2" s="296"/>
      <c r="G2" s="296"/>
      <c r="H2" s="296"/>
      <c r="I2" s="297"/>
    </row>
    <row r="3" spans="2:11" ht="15" thickBot="1" x14ac:dyDescent="0.35">
      <c r="B3" s="300"/>
      <c r="C3" s="34" t="s">
        <v>12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3" t="s">
        <v>5</v>
      </c>
    </row>
    <row r="4" spans="2:11" ht="15" thickBot="1" x14ac:dyDescent="0.35">
      <c r="B4" s="300"/>
      <c r="C4" s="35" t="s">
        <v>7</v>
      </c>
      <c r="D4" s="116">
        <v>1</v>
      </c>
      <c r="E4" s="117">
        <v>1</v>
      </c>
      <c r="F4" s="117">
        <v>1</v>
      </c>
      <c r="G4" s="117">
        <v>1</v>
      </c>
      <c r="H4" s="117">
        <v>1</v>
      </c>
      <c r="I4" s="118">
        <v>1</v>
      </c>
    </row>
    <row r="5" spans="2:11" ht="15" thickBot="1" x14ac:dyDescent="0.35">
      <c r="B5" s="300"/>
      <c r="C5" s="36" t="s">
        <v>6</v>
      </c>
      <c r="D5" s="119">
        <v>1</v>
      </c>
      <c r="E5" s="120">
        <v>1</v>
      </c>
      <c r="F5" s="120">
        <v>1</v>
      </c>
      <c r="G5" s="120">
        <v>1</v>
      </c>
      <c r="H5" s="120">
        <v>1</v>
      </c>
      <c r="I5" s="121" t="s">
        <v>15</v>
      </c>
    </row>
    <row r="6" spans="2:11" ht="15" thickBot="1" x14ac:dyDescent="0.35">
      <c r="B6" s="300"/>
      <c r="C6" s="36" t="s">
        <v>8</v>
      </c>
      <c r="D6" s="119">
        <v>1</v>
      </c>
      <c r="E6" s="120">
        <v>1</v>
      </c>
      <c r="F6" s="120">
        <v>1</v>
      </c>
      <c r="G6" s="120">
        <v>1</v>
      </c>
      <c r="H6" s="120">
        <v>1</v>
      </c>
      <c r="I6" s="121">
        <v>1</v>
      </c>
    </row>
    <row r="7" spans="2:11" ht="15" thickBot="1" x14ac:dyDescent="0.35">
      <c r="B7" s="300"/>
      <c r="C7" s="36" t="s">
        <v>9</v>
      </c>
      <c r="D7" s="119">
        <v>1</v>
      </c>
      <c r="E7" s="120">
        <v>1</v>
      </c>
      <c r="F7" s="120">
        <v>1</v>
      </c>
      <c r="G7" s="120">
        <v>1</v>
      </c>
      <c r="H7" s="120">
        <v>1</v>
      </c>
      <c r="I7" s="121" t="s">
        <v>15</v>
      </c>
    </row>
    <row r="8" spans="2:11" ht="15" thickBot="1" x14ac:dyDescent="0.35">
      <c r="B8" s="300"/>
      <c r="C8" s="36" t="s">
        <v>10</v>
      </c>
      <c r="D8" s="119">
        <v>1</v>
      </c>
      <c r="E8" s="120">
        <v>1</v>
      </c>
      <c r="F8" s="120">
        <v>1</v>
      </c>
      <c r="G8" s="120">
        <v>1</v>
      </c>
      <c r="H8" s="120">
        <v>1</v>
      </c>
      <c r="I8" s="121">
        <v>1</v>
      </c>
    </row>
    <row r="9" spans="2:11" ht="15" thickBot="1" x14ac:dyDescent="0.35">
      <c r="B9" s="301"/>
      <c r="C9" s="37" t="s">
        <v>14</v>
      </c>
      <c r="D9" s="116">
        <v>1</v>
      </c>
      <c r="E9" s="120">
        <v>1</v>
      </c>
      <c r="F9" s="120">
        <v>1</v>
      </c>
      <c r="G9" s="117">
        <v>1</v>
      </c>
      <c r="H9" s="117">
        <v>1</v>
      </c>
      <c r="I9" s="118">
        <v>1</v>
      </c>
    </row>
    <row r="10" spans="2:11" ht="15" thickBot="1" x14ac:dyDescent="0.35">
      <c r="C10" s="298" t="s">
        <v>71</v>
      </c>
      <c r="D10" s="296"/>
      <c r="E10" s="296"/>
      <c r="F10" s="296"/>
      <c r="G10" s="296"/>
      <c r="H10" s="296"/>
      <c r="I10" s="297"/>
    </row>
    <row r="11" spans="2:11" ht="15" customHeight="1" thickBot="1" x14ac:dyDescent="0.35">
      <c r="B11" s="295" t="s">
        <v>69</v>
      </c>
      <c r="C11" s="5" t="s">
        <v>12</v>
      </c>
      <c r="D11" s="2" t="s">
        <v>0</v>
      </c>
      <c r="E11" s="2" t="s">
        <v>1</v>
      </c>
      <c r="F11" s="2" t="s">
        <v>2</v>
      </c>
      <c r="G11" s="2" t="s">
        <v>3</v>
      </c>
      <c r="H11" s="2" t="s">
        <v>4</v>
      </c>
      <c r="I11" s="3" t="s">
        <v>5</v>
      </c>
      <c r="K11">
        <f>100/6</f>
        <v>16.666666666666668</v>
      </c>
    </row>
    <row r="12" spans="2:11" ht="15" thickBot="1" x14ac:dyDescent="0.35">
      <c r="B12" s="295"/>
      <c r="C12" s="6" t="s">
        <v>7</v>
      </c>
      <c r="D12" s="116">
        <v>1</v>
      </c>
      <c r="E12" s="117">
        <v>1</v>
      </c>
      <c r="F12" s="117">
        <v>1</v>
      </c>
      <c r="G12" s="117">
        <v>1</v>
      </c>
      <c r="H12" s="117">
        <v>1</v>
      </c>
      <c r="I12" s="118">
        <v>1</v>
      </c>
      <c r="K12">
        <f>K11*3</f>
        <v>50</v>
      </c>
    </row>
    <row r="13" spans="2:11" ht="15" thickBot="1" x14ac:dyDescent="0.35">
      <c r="B13" s="295"/>
      <c r="C13" s="4" t="s">
        <v>6</v>
      </c>
      <c r="D13" s="119">
        <v>1</v>
      </c>
      <c r="E13" s="120">
        <v>1</v>
      </c>
      <c r="F13" s="120">
        <v>1</v>
      </c>
      <c r="G13" s="120">
        <v>1</v>
      </c>
      <c r="H13" s="120" t="s">
        <v>15</v>
      </c>
      <c r="I13" s="121" t="s">
        <v>15</v>
      </c>
    </row>
    <row r="14" spans="2:11" ht="15" thickBot="1" x14ac:dyDescent="0.35">
      <c r="B14" s="295"/>
      <c r="C14" s="4" t="s">
        <v>8</v>
      </c>
      <c r="D14" s="119">
        <v>1</v>
      </c>
      <c r="E14" s="120">
        <v>1</v>
      </c>
      <c r="F14" s="120">
        <v>1</v>
      </c>
      <c r="G14" s="120">
        <v>1</v>
      </c>
      <c r="H14" s="120" t="s">
        <v>15</v>
      </c>
      <c r="I14" s="121" t="s">
        <v>15</v>
      </c>
    </row>
    <row r="15" spans="2:11" ht="15" thickBot="1" x14ac:dyDescent="0.35">
      <c r="B15" s="295"/>
      <c r="C15" s="4"/>
      <c r="D15" s="119"/>
      <c r="E15" s="120"/>
      <c r="F15" s="120"/>
      <c r="G15" s="120"/>
      <c r="H15" s="120"/>
      <c r="I15" s="121"/>
    </row>
    <row r="16" spans="2:11" ht="15" thickBot="1" x14ac:dyDescent="0.35">
      <c r="B16" s="295"/>
      <c r="C16" s="4"/>
      <c r="D16" s="119"/>
      <c r="E16" s="120"/>
      <c r="F16" s="120"/>
      <c r="G16" s="120"/>
      <c r="H16" s="120"/>
      <c r="I16" s="121"/>
    </row>
    <row r="17" spans="2:9" ht="15" thickBot="1" x14ac:dyDescent="0.35">
      <c r="B17" s="295"/>
      <c r="C17" s="7"/>
      <c r="D17" s="10"/>
      <c r="E17" s="11"/>
      <c r="F17" s="11"/>
      <c r="G17" s="11"/>
      <c r="H17" s="11"/>
      <c r="I17" s="12"/>
    </row>
    <row r="18" spans="2:9" ht="15" thickBot="1" x14ac:dyDescent="0.35"/>
    <row r="19" spans="2:9" ht="15" thickBot="1" x14ac:dyDescent="0.35">
      <c r="C19" s="298" t="s">
        <v>71</v>
      </c>
      <c r="D19" s="296"/>
      <c r="E19" s="296"/>
      <c r="F19" s="296"/>
      <c r="G19" s="296"/>
      <c r="H19" s="296"/>
      <c r="I19" s="297"/>
    </row>
    <row r="20" spans="2:9" ht="15" thickBot="1" x14ac:dyDescent="0.35">
      <c r="B20" s="295" t="s">
        <v>218</v>
      </c>
      <c r="C20" s="5" t="s">
        <v>12</v>
      </c>
      <c r="D20" s="2" t="s">
        <v>0</v>
      </c>
      <c r="E20" s="2" t="s">
        <v>1</v>
      </c>
      <c r="F20" s="2" t="s">
        <v>2</v>
      </c>
      <c r="G20" s="2" t="s">
        <v>3</v>
      </c>
      <c r="H20" s="2" t="s">
        <v>4</v>
      </c>
      <c r="I20" s="3" t="s">
        <v>5</v>
      </c>
    </row>
    <row r="21" spans="2:9" ht="15" thickBot="1" x14ac:dyDescent="0.35">
      <c r="B21" s="295"/>
      <c r="C21" s="6" t="s">
        <v>219</v>
      </c>
      <c r="D21" s="116">
        <v>1</v>
      </c>
      <c r="E21" s="117">
        <v>1</v>
      </c>
      <c r="F21" s="117">
        <v>1</v>
      </c>
      <c r="G21" s="117">
        <v>1</v>
      </c>
      <c r="H21" s="117">
        <v>1</v>
      </c>
      <c r="I21" s="121" t="s">
        <v>34</v>
      </c>
    </row>
    <row r="22" spans="2:9" ht="15" thickBot="1" x14ac:dyDescent="0.35">
      <c r="B22" s="295"/>
      <c r="C22" s="4" t="s">
        <v>220</v>
      </c>
      <c r="D22" s="116">
        <v>1</v>
      </c>
      <c r="E22" s="117">
        <v>1</v>
      </c>
      <c r="F22" s="117">
        <v>1</v>
      </c>
      <c r="G22" s="117">
        <v>1</v>
      </c>
      <c r="H22" s="117">
        <v>1</v>
      </c>
      <c r="I22" s="121" t="s">
        <v>34</v>
      </c>
    </row>
    <row r="23" spans="2:9" ht="15" thickBot="1" x14ac:dyDescent="0.35">
      <c r="B23" s="295"/>
      <c r="C23" s="4" t="s">
        <v>221</v>
      </c>
      <c r="D23" s="119">
        <v>1</v>
      </c>
      <c r="E23" s="120" t="s">
        <v>34</v>
      </c>
      <c r="F23" s="120" t="s">
        <v>34</v>
      </c>
      <c r="G23" s="120" t="s">
        <v>34</v>
      </c>
      <c r="H23" s="120" t="s">
        <v>34</v>
      </c>
      <c r="I23" s="121" t="s">
        <v>34</v>
      </c>
    </row>
    <row r="24" spans="2:9" ht="15" thickBot="1" x14ac:dyDescent="0.35">
      <c r="B24" s="295"/>
      <c r="C24" s="4" t="s">
        <v>222</v>
      </c>
      <c r="D24" s="119" t="s">
        <v>15</v>
      </c>
      <c r="E24" s="120">
        <v>1</v>
      </c>
      <c r="F24" s="120" t="s">
        <v>34</v>
      </c>
      <c r="G24" s="120">
        <v>1</v>
      </c>
      <c r="H24" s="120" t="s">
        <v>34</v>
      </c>
      <c r="I24" s="121" t="s">
        <v>34</v>
      </c>
    </row>
    <row r="25" spans="2:9" ht="15" thickBot="1" x14ac:dyDescent="0.35">
      <c r="B25" s="295"/>
      <c r="C25" s="4" t="s">
        <v>223</v>
      </c>
      <c r="D25" s="119">
        <v>1</v>
      </c>
      <c r="E25" s="120">
        <v>1</v>
      </c>
      <c r="F25" s="120">
        <v>1</v>
      </c>
      <c r="G25" s="120">
        <v>1</v>
      </c>
      <c r="H25" s="120" t="s">
        <v>34</v>
      </c>
      <c r="I25" s="121" t="s">
        <v>34</v>
      </c>
    </row>
    <row r="26" spans="2:9" ht="15" thickBot="1" x14ac:dyDescent="0.35">
      <c r="B26" s="295"/>
      <c r="C26" s="7"/>
      <c r="D26" s="122"/>
      <c r="E26" s="123"/>
      <c r="F26" s="123"/>
      <c r="G26" s="123"/>
      <c r="H26" s="123"/>
      <c r="I26" s="124"/>
    </row>
    <row r="29" spans="2:9" x14ac:dyDescent="0.3">
      <c r="C29" s="9"/>
      <c r="D29" s="8"/>
    </row>
    <row r="30" spans="2:9" x14ac:dyDescent="0.3">
      <c r="C30" s="9"/>
      <c r="D30" s="8"/>
    </row>
    <row r="31" spans="2:9" x14ac:dyDescent="0.3">
      <c r="C31" s="9"/>
      <c r="D31" s="8"/>
    </row>
    <row r="32" spans="2:9" x14ac:dyDescent="0.3">
      <c r="C32" s="9"/>
      <c r="D32" s="8"/>
    </row>
    <row r="33" spans="3:4" x14ac:dyDescent="0.3">
      <c r="C33" s="9"/>
      <c r="D33" s="8"/>
    </row>
    <row r="34" spans="3:4" x14ac:dyDescent="0.3">
      <c r="C34" s="9"/>
      <c r="D34" s="8"/>
    </row>
    <row r="35" spans="3:4" x14ac:dyDescent="0.3">
      <c r="C35" s="9"/>
      <c r="D35" s="8"/>
    </row>
    <row r="36" spans="3:4" x14ac:dyDescent="0.3">
      <c r="D36" s="8"/>
    </row>
    <row r="37" spans="3:4" x14ac:dyDescent="0.3">
      <c r="D37" s="8"/>
    </row>
    <row r="38" spans="3:4" x14ac:dyDescent="0.3">
      <c r="D38" s="8"/>
    </row>
  </sheetData>
  <mergeCells count="6">
    <mergeCell ref="B20:B26"/>
    <mergeCell ref="C2:I2"/>
    <mergeCell ref="C10:I10"/>
    <mergeCell ref="B11:B17"/>
    <mergeCell ref="B2:B9"/>
    <mergeCell ref="C19:I19"/>
  </mergeCells>
  <phoneticPr fontId="3" type="noConversion"/>
  <conditionalFormatting sqref="D6:D8">
    <cfRule type="dataBar" priority="2">
      <dataBar>
        <cfvo type="min"/>
        <cfvo type="max"/>
        <color rgb="FF00FF00"/>
      </dataBar>
      <extLst>
        <ext xmlns:x14="http://schemas.microsoft.com/office/spreadsheetml/2009/9/main" uri="{B025F937-C7B1-47D3-B67F-A62EFF666E3E}">
          <x14:id>{0D366C5D-5A54-4467-B12D-FC1663A3AA86}</x14:id>
        </ext>
      </extLst>
    </cfRule>
  </conditionalFormatting>
  <conditionalFormatting sqref="D14:D16">
    <cfRule type="dataBar" priority="9">
      <dataBar>
        <cfvo type="min"/>
        <cfvo type="max"/>
        <color rgb="FF00FF00"/>
      </dataBar>
      <extLst>
        <ext xmlns:x14="http://schemas.microsoft.com/office/spreadsheetml/2009/9/main" uri="{B025F937-C7B1-47D3-B67F-A62EFF666E3E}">
          <x14:id>{6D9234F6-8A4E-4519-A2D6-7ACA655A5DB5}</x14:id>
        </ext>
      </extLst>
    </cfRule>
  </conditionalFormatting>
  <conditionalFormatting sqref="D23:D25">
    <cfRule type="dataBar" priority="16">
      <dataBar>
        <cfvo type="min"/>
        <cfvo type="max"/>
        <color rgb="FF00FF00"/>
      </dataBar>
      <extLst>
        <ext xmlns:x14="http://schemas.microsoft.com/office/spreadsheetml/2009/9/main" uri="{B025F937-C7B1-47D3-B67F-A62EFF666E3E}">
          <x14:id>{2477F7E2-D903-4731-8D76-60BDF8BA6B7D}</x14:id>
        </ext>
      </extLst>
    </cfRule>
  </conditionalFormatting>
  <conditionalFormatting sqref="D4:I9">
    <cfRule type="dataBar" priority="1">
      <dataBar>
        <cfvo type="min"/>
        <cfvo type="max"/>
        <color rgb="FF00FF00"/>
      </dataBar>
      <extLst>
        <ext xmlns:x14="http://schemas.microsoft.com/office/spreadsheetml/2009/9/main" uri="{B025F937-C7B1-47D3-B67F-A62EFF666E3E}">
          <x14:id>{DA5496FA-0D50-4A15-BD39-6C527E935B3D}</x14:id>
        </ext>
      </extLst>
    </cfRule>
    <cfRule type="cellIs" dxfId="3" priority="3" operator="equal">
      <formula>1</formula>
    </cfRule>
  </conditionalFormatting>
  <conditionalFormatting sqref="D12:I16">
    <cfRule type="dataBar" priority="8">
      <dataBar>
        <cfvo type="min"/>
        <cfvo type="max"/>
        <color rgb="FF00FF00"/>
      </dataBar>
      <extLst>
        <ext xmlns:x14="http://schemas.microsoft.com/office/spreadsheetml/2009/9/main" uri="{B025F937-C7B1-47D3-B67F-A62EFF666E3E}">
          <x14:id>{268572F2-0104-4C41-A9B1-05E57180A1CB}</x14:id>
        </ext>
      </extLst>
    </cfRule>
  </conditionalFormatting>
  <conditionalFormatting sqref="D12:I17 D21:I26">
    <cfRule type="cellIs" dxfId="2" priority="10" operator="equal">
      <formula>1</formula>
    </cfRule>
  </conditionalFormatting>
  <conditionalFormatting sqref="D21:I25">
    <cfRule type="dataBar" priority="15">
      <dataBar>
        <cfvo type="min"/>
        <cfvo type="max"/>
        <color rgb="FF00FF00"/>
      </dataBar>
      <extLst>
        <ext xmlns:x14="http://schemas.microsoft.com/office/spreadsheetml/2009/9/main" uri="{B025F937-C7B1-47D3-B67F-A62EFF666E3E}">
          <x14:id>{ED714941-75FA-4A72-A774-EC85C4199D65}</x14:id>
        </ext>
      </extLst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366C5D-5A54-4467-B12D-FC1663A3AA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D6:D8</xm:sqref>
        </x14:conditionalFormatting>
        <x14:conditionalFormatting xmlns:xm="http://schemas.microsoft.com/office/excel/2006/main">
          <x14:cfRule type="dataBar" id="{6D9234F6-8A4E-4519-A2D6-7ACA655A5D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D14:D16</xm:sqref>
        </x14:conditionalFormatting>
        <x14:conditionalFormatting xmlns:xm="http://schemas.microsoft.com/office/excel/2006/main">
          <x14:cfRule type="dataBar" id="{2477F7E2-D903-4731-8D76-60BDF8BA6B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D23:D25</xm:sqref>
        </x14:conditionalFormatting>
        <x14:conditionalFormatting xmlns:xm="http://schemas.microsoft.com/office/excel/2006/main">
          <x14:cfRule type="dataBar" id="{DA5496FA-0D50-4A15-BD39-6C527E935B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D4:I9</xm:sqref>
        </x14:conditionalFormatting>
        <x14:conditionalFormatting xmlns:xm="http://schemas.microsoft.com/office/excel/2006/main">
          <x14:cfRule type="dataBar" id="{268572F2-0104-4C41-A9B1-05E57180A1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D12:I16</xm:sqref>
        </x14:conditionalFormatting>
        <x14:conditionalFormatting xmlns:xm="http://schemas.microsoft.com/office/excel/2006/main">
          <x14:cfRule type="dataBar" id="{ED714941-75FA-4A72-A774-EC85C4199D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D21:I25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D7CB-1CBE-49D7-870E-826A49BF561F}">
  <dimension ref="A1:ER13"/>
  <sheetViews>
    <sheetView workbookViewId="0">
      <selection activeCell="L3" sqref="L3:Q5"/>
    </sheetView>
  </sheetViews>
  <sheetFormatPr baseColWidth="10" defaultRowHeight="14.4" x14ac:dyDescent="0.3"/>
  <cols>
    <col min="1" max="22" width="2.77734375" customWidth="1"/>
    <col min="23" max="23" width="1.21875" customWidth="1"/>
    <col min="24" max="53" width="2.77734375" customWidth="1"/>
    <col min="54" max="54" width="1.21875" customWidth="1"/>
    <col min="55" max="85" width="2.77734375" customWidth="1"/>
    <col min="86" max="86" width="1.21875" customWidth="1"/>
    <col min="87" max="116" width="2.77734375" customWidth="1"/>
    <col min="117" max="117" width="1.21875" customWidth="1"/>
    <col min="118" max="148" width="2.77734375" customWidth="1"/>
  </cols>
  <sheetData>
    <row r="1" spans="1:148" ht="6" customHeight="1" thickBot="1" x14ac:dyDescent="0.35"/>
    <row r="2" spans="1:148" x14ac:dyDescent="0.3">
      <c r="A2" s="164" t="s">
        <v>22</v>
      </c>
      <c r="C2" s="164" t="str">
        <f>_xlfn.CONCAT(SUM(B12:ER15))</f>
        <v>715.6</v>
      </c>
      <c r="E2" s="304" t="s">
        <v>653</v>
      </c>
      <c r="F2" s="305"/>
      <c r="G2" s="305"/>
      <c r="H2" s="305"/>
      <c r="I2" s="305"/>
      <c r="J2" s="306"/>
      <c r="L2" s="304" t="s">
        <v>652</v>
      </c>
      <c r="M2" s="305"/>
      <c r="N2" s="305"/>
      <c r="O2" s="305"/>
      <c r="P2" s="305"/>
      <c r="Q2" s="306"/>
      <c r="S2" s="304" t="s">
        <v>654</v>
      </c>
      <c r="T2" s="305"/>
      <c r="U2" s="305"/>
      <c r="V2" s="305"/>
      <c r="W2" s="305"/>
      <c r="X2" s="306"/>
    </row>
    <row r="3" spans="1:148" ht="14.4" customHeight="1" x14ac:dyDescent="0.3">
      <c r="E3" s="307">
        <v>900</v>
      </c>
      <c r="F3" s="308"/>
      <c r="G3" s="308"/>
      <c r="H3" s="308"/>
      <c r="I3" s="308"/>
      <c r="J3" s="309"/>
      <c r="L3" s="307" t="str">
        <f>_xlfn.CONCAT(SUM(B12:ER15)," ",A2)</f>
        <v>715.6 m</v>
      </c>
      <c r="M3" s="308"/>
      <c r="N3" s="308"/>
      <c r="O3" s="308"/>
      <c r="P3" s="308"/>
      <c r="Q3" s="309"/>
      <c r="S3" s="307">
        <f>E3-C2</f>
        <v>184.39999999999998</v>
      </c>
      <c r="T3" s="308"/>
      <c r="U3" s="308"/>
      <c r="V3" s="308"/>
      <c r="W3" s="308"/>
      <c r="X3" s="309"/>
    </row>
    <row r="4" spans="1:148" ht="14.4" customHeight="1" x14ac:dyDescent="0.3">
      <c r="E4" s="307"/>
      <c r="F4" s="308"/>
      <c r="G4" s="308"/>
      <c r="H4" s="308"/>
      <c r="I4" s="308"/>
      <c r="J4" s="309"/>
      <c r="L4" s="307"/>
      <c r="M4" s="308"/>
      <c r="N4" s="308"/>
      <c r="O4" s="308"/>
      <c r="P4" s="308"/>
      <c r="Q4" s="309"/>
      <c r="S4" s="307"/>
      <c r="T4" s="308"/>
      <c r="U4" s="308"/>
      <c r="V4" s="308"/>
      <c r="W4" s="308"/>
      <c r="X4" s="309"/>
    </row>
    <row r="5" spans="1:148" ht="14.4" customHeight="1" thickBot="1" x14ac:dyDescent="0.35">
      <c r="E5" s="310"/>
      <c r="F5" s="311"/>
      <c r="G5" s="311"/>
      <c r="H5" s="311"/>
      <c r="I5" s="311"/>
      <c r="J5" s="312"/>
      <c r="L5" s="310"/>
      <c r="M5" s="311"/>
      <c r="N5" s="311"/>
      <c r="O5" s="311"/>
      <c r="P5" s="311"/>
      <c r="Q5" s="312"/>
      <c r="S5" s="310"/>
      <c r="T5" s="311"/>
      <c r="U5" s="311"/>
      <c r="V5" s="311"/>
      <c r="W5" s="311"/>
      <c r="X5" s="312"/>
    </row>
    <row r="7" spans="1:148" s="226" customFormat="1" ht="12" customHeight="1" x14ac:dyDescent="0.3">
      <c r="B7" s="303" t="s">
        <v>545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227"/>
      <c r="X7" s="313" t="s">
        <v>546</v>
      </c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13"/>
      <c r="AJ7" s="313"/>
      <c r="AK7" s="313"/>
      <c r="AL7" s="313"/>
      <c r="AM7" s="313"/>
      <c r="AN7" s="313"/>
      <c r="AO7" s="313"/>
      <c r="AP7" s="313"/>
      <c r="AQ7" s="313"/>
      <c r="AR7" s="313"/>
      <c r="AS7" s="313"/>
      <c r="AT7" s="313"/>
      <c r="AU7" s="313"/>
      <c r="AV7" s="313"/>
      <c r="AW7" s="313"/>
      <c r="AX7" s="313"/>
      <c r="AY7" s="313"/>
      <c r="AZ7" s="313"/>
      <c r="BA7" s="313"/>
      <c r="BB7" s="227"/>
      <c r="BC7" s="303" t="s">
        <v>547</v>
      </c>
      <c r="BD7" s="303"/>
      <c r="BE7" s="303"/>
      <c r="BF7" s="303"/>
      <c r="BG7" s="303"/>
      <c r="BH7" s="303"/>
      <c r="BI7" s="303"/>
      <c r="BJ7" s="303"/>
      <c r="BK7" s="303"/>
      <c r="BL7" s="303"/>
      <c r="BM7" s="303"/>
      <c r="BN7" s="303"/>
      <c r="BO7" s="303"/>
      <c r="BP7" s="303"/>
      <c r="BQ7" s="303"/>
      <c r="BR7" s="303"/>
      <c r="BS7" s="303"/>
      <c r="BT7" s="303"/>
      <c r="BU7" s="303"/>
      <c r="BV7" s="303"/>
      <c r="BW7" s="303"/>
      <c r="BX7" s="303"/>
      <c r="BY7" s="303"/>
      <c r="BZ7" s="303"/>
      <c r="CA7" s="303"/>
      <c r="CB7" s="303"/>
      <c r="CC7" s="303"/>
      <c r="CD7" s="303"/>
      <c r="CE7" s="303"/>
      <c r="CF7" s="303"/>
      <c r="CG7" s="303"/>
      <c r="CH7" s="227"/>
      <c r="CI7" s="303" t="s">
        <v>548</v>
      </c>
      <c r="CJ7" s="303"/>
      <c r="CK7" s="303"/>
      <c r="CL7" s="303"/>
      <c r="CM7" s="303"/>
      <c r="CN7" s="303"/>
      <c r="CO7" s="303"/>
      <c r="CP7" s="303"/>
      <c r="CQ7" s="303"/>
      <c r="CR7" s="303"/>
      <c r="CS7" s="303"/>
      <c r="CT7" s="303"/>
      <c r="CU7" s="303"/>
      <c r="CV7" s="303"/>
      <c r="CW7" s="303"/>
      <c r="CX7" s="303"/>
      <c r="CY7" s="303"/>
      <c r="CZ7" s="303"/>
      <c r="DA7" s="303"/>
      <c r="DB7" s="303"/>
      <c r="DC7" s="303"/>
      <c r="DD7" s="303"/>
      <c r="DE7" s="303"/>
      <c r="DF7" s="303"/>
      <c r="DG7" s="303"/>
      <c r="DH7" s="303"/>
      <c r="DI7" s="303"/>
      <c r="DJ7" s="303"/>
      <c r="DK7" s="303"/>
      <c r="DL7" s="303"/>
      <c r="DM7" s="227"/>
      <c r="DN7" s="303" t="s">
        <v>549</v>
      </c>
      <c r="DO7" s="303"/>
      <c r="DP7" s="303"/>
      <c r="DQ7" s="303"/>
      <c r="DR7" s="303"/>
      <c r="DS7" s="303"/>
      <c r="DT7" s="303"/>
      <c r="DU7" s="303"/>
      <c r="DV7" s="303"/>
      <c r="DW7" s="303"/>
      <c r="DX7" s="303"/>
      <c r="DY7" s="303"/>
      <c r="DZ7" s="303"/>
      <c r="EA7" s="303"/>
      <c r="EB7" s="303"/>
      <c r="EC7" s="303"/>
      <c r="ED7" s="303"/>
      <c r="EE7" s="303"/>
      <c r="EF7" s="303"/>
      <c r="EG7" s="303"/>
      <c r="EH7" s="303"/>
      <c r="EI7" s="303"/>
      <c r="EJ7" s="303"/>
      <c r="EK7" s="303"/>
      <c r="EL7" s="303"/>
      <c r="EM7" s="303"/>
      <c r="EN7" s="303"/>
      <c r="EO7" s="303"/>
      <c r="EP7" s="303"/>
      <c r="EQ7" s="303"/>
      <c r="ER7" s="303"/>
    </row>
    <row r="8" spans="1:148" ht="10.050000000000001" customHeight="1" x14ac:dyDescent="0.3">
      <c r="B8" s="302" t="s">
        <v>13</v>
      </c>
      <c r="C8" s="302"/>
      <c r="D8" s="302"/>
      <c r="E8" s="302"/>
      <c r="F8" s="302"/>
      <c r="G8" s="302"/>
      <c r="H8" s="302"/>
      <c r="I8" s="302" t="s">
        <v>17</v>
      </c>
      <c r="J8" s="302"/>
      <c r="K8" s="302"/>
      <c r="L8" s="302"/>
      <c r="M8" s="302"/>
      <c r="N8" s="302"/>
      <c r="O8" s="302"/>
      <c r="P8" s="302" t="s">
        <v>18</v>
      </c>
      <c r="Q8" s="302"/>
      <c r="R8" s="302"/>
      <c r="S8" s="302"/>
      <c r="T8" s="302"/>
      <c r="U8" s="302"/>
      <c r="V8" s="302"/>
      <c r="W8" s="17"/>
      <c r="X8" s="302" t="s">
        <v>19</v>
      </c>
      <c r="Y8" s="302"/>
      <c r="Z8" s="302"/>
      <c r="AA8" s="302"/>
      <c r="AB8" s="302"/>
      <c r="AC8" s="302"/>
      <c r="AD8" s="302"/>
      <c r="AE8" s="302" t="s">
        <v>20</v>
      </c>
      <c r="AF8" s="302"/>
      <c r="AG8" s="302"/>
      <c r="AH8" s="302"/>
      <c r="AI8" s="302"/>
      <c r="AJ8" s="302"/>
      <c r="AK8" s="302"/>
      <c r="AL8" s="302" t="s">
        <v>550</v>
      </c>
      <c r="AM8" s="302"/>
      <c r="AN8" s="302"/>
      <c r="AO8" s="302"/>
      <c r="AP8" s="302"/>
      <c r="AQ8" s="302"/>
      <c r="AR8" s="302"/>
      <c r="AS8" s="302" t="s">
        <v>551</v>
      </c>
      <c r="AT8" s="302"/>
      <c r="AU8" s="302"/>
      <c r="AV8" s="302"/>
      <c r="AW8" s="302"/>
      <c r="AX8" s="302"/>
      <c r="AY8" s="302"/>
      <c r="AZ8" s="302" t="s">
        <v>552</v>
      </c>
      <c r="BA8" s="302"/>
      <c r="BB8" s="302"/>
      <c r="BC8" s="302"/>
      <c r="BD8" s="302"/>
      <c r="BE8" s="302"/>
      <c r="BF8" s="302"/>
      <c r="BG8" s="302"/>
      <c r="BH8" s="302" t="s">
        <v>553</v>
      </c>
      <c r="BI8" s="302"/>
      <c r="BJ8" s="302"/>
      <c r="BK8" s="302"/>
      <c r="BL8" s="302"/>
      <c r="BM8" s="302"/>
      <c r="BN8" s="302"/>
      <c r="BO8" s="302" t="s">
        <v>554</v>
      </c>
      <c r="BP8" s="302"/>
      <c r="BQ8" s="302"/>
      <c r="BR8" s="302"/>
      <c r="BS8" s="302"/>
      <c r="BT8" s="302"/>
      <c r="BU8" s="302"/>
      <c r="BV8" s="302" t="s">
        <v>555</v>
      </c>
      <c r="BW8" s="302"/>
      <c r="BX8" s="302"/>
      <c r="BY8" s="302"/>
      <c r="BZ8" s="302"/>
      <c r="CA8" s="302"/>
      <c r="CB8" s="302"/>
      <c r="CC8" s="302" t="s">
        <v>556</v>
      </c>
      <c r="CD8" s="302"/>
      <c r="CE8" s="302"/>
      <c r="CF8" s="302"/>
      <c r="CG8" s="302"/>
      <c r="CH8" s="302"/>
      <c r="CI8" s="302"/>
      <c r="CJ8" s="302"/>
      <c r="CK8" s="302" t="s">
        <v>557</v>
      </c>
      <c r="CL8" s="302"/>
      <c r="CM8" s="302"/>
      <c r="CN8" s="302"/>
      <c r="CO8" s="302"/>
      <c r="CP8" s="302"/>
      <c r="CQ8" s="302"/>
      <c r="CR8" s="302" t="s">
        <v>558</v>
      </c>
      <c r="CS8" s="302"/>
      <c r="CT8" s="302"/>
      <c r="CU8" s="302"/>
      <c r="CV8" s="302"/>
      <c r="CW8" s="302"/>
      <c r="CX8" s="302"/>
      <c r="CY8" s="302" t="s">
        <v>559</v>
      </c>
      <c r="CZ8" s="302"/>
      <c r="DA8" s="302"/>
      <c r="DB8" s="302"/>
      <c r="DC8" s="302"/>
      <c r="DD8" s="302"/>
      <c r="DE8" s="302"/>
      <c r="DF8" s="302" t="s">
        <v>560</v>
      </c>
      <c r="DG8" s="302"/>
      <c r="DH8" s="302"/>
      <c r="DI8" s="302"/>
      <c r="DJ8" s="302"/>
      <c r="DK8" s="302"/>
      <c r="DL8" s="302"/>
      <c r="DM8" s="17"/>
      <c r="DN8" s="302" t="s">
        <v>561</v>
      </c>
      <c r="DO8" s="302"/>
      <c r="DP8" s="302"/>
      <c r="DQ8" s="302"/>
      <c r="DR8" s="302"/>
      <c r="DS8" s="302"/>
      <c r="DT8" s="302"/>
      <c r="DU8" s="302" t="s">
        <v>562</v>
      </c>
      <c r="DV8" s="302"/>
      <c r="DW8" s="302"/>
      <c r="DX8" s="302"/>
      <c r="DY8" s="302"/>
      <c r="DZ8" s="302"/>
      <c r="EA8" s="302"/>
      <c r="EB8" s="302" t="s">
        <v>563</v>
      </c>
      <c r="EC8" s="302"/>
      <c r="ED8" s="302"/>
      <c r="EE8" s="302"/>
      <c r="EF8" s="302"/>
      <c r="EG8" s="302"/>
      <c r="EH8" s="302"/>
      <c r="EI8" s="302" t="s">
        <v>564</v>
      </c>
      <c r="EJ8" s="302"/>
      <c r="EK8" s="302"/>
      <c r="EL8" s="302"/>
      <c r="EM8" s="302"/>
      <c r="EN8" s="302"/>
      <c r="EO8" s="302"/>
      <c r="EP8" s="17"/>
      <c r="EQ8" s="17"/>
      <c r="ER8" s="17"/>
    </row>
    <row r="9" spans="1:148" s="21" customFormat="1" ht="10.95" customHeight="1" x14ac:dyDescent="0.25">
      <c r="B9" s="21" t="s">
        <v>565</v>
      </c>
      <c r="C9" s="21" t="s">
        <v>91</v>
      </c>
      <c r="D9" s="21" t="s">
        <v>91</v>
      </c>
      <c r="E9" s="21" t="s">
        <v>566</v>
      </c>
      <c r="F9" s="21" t="s">
        <v>567</v>
      </c>
      <c r="G9" s="21" t="s">
        <v>568</v>
      </c>
      <c r="H9" s="21" t="s">
        <v>569</v>
      </c>
      <c r="I9" s="21" t="s">
        <v>565</v>
      </c>
      <c r="J9" s="21" t="s">
        <v>91</v>
      </c>
      <c r="K9" s="21" t="s">
        <v>91</v>
      </c>
      <c r="L9" s="21" t="s">
        <v>566</v>
      </c>
      <c r="M9" s="21" t="s">
        <v>567</v>
      </c>
      <c r="N9" s="21" t="s">
        <v>568</v>
      </c>
      <c r="O9" s="21" t="s">
        <v>569</v>
      </c>
      <c r="P9" s="21" t="s">
        <v>565</v>
      </c>
      <c r="Q9" s="21" t="s">
        <v>91</v>
      </c>
      <c r="R9" s="21" t="s">
        <v>91</v>
      </c>
      <c r="S9" s="21" t="s">
        <v>566</v>
      </c>
      <c r="T9" s="21" t="s">
        <v>567</v>
      </c>
      <c r="U9" s="21" t="s">
        <v>568</v>
      </c>
      <c r="V9" s="21" t="s">
        <v>569</v>
      </c>
      <c r="X9" s="21" t="s">
        <v>565</v>
      </c>
      <c r="Y9" s="21" t="s">
        <v>91</v>
      </c>
      <c r="Z9" s="21" t="s">
        <v>91</v>
      </c>
      <c r="AA9" s="21" t="s">
        <v>566</v>
      </c>
      <c r="AB9" s="21" t="s">
        <v>567</v>
      </c>
      <c r="AC9" s="21" t="s">
        <v>568</v>
      </c>
      <c r="AD9" s="21" t="s">
        <v>569</v>
      </c>
      <c r="AE9" s="21" t="s">
        <v>565</v>
      </c>
      <c r="AF9" s="21" t="s">
        <v>91</v>
      </c>
      <c r="AG9" s="21" t="s">
        <v>91</v>
      </c>
      <c r="AH9" s="21" t="s">
        <v>566</v>
      </c>
      <c r="AI9" s="21" t="s">
        <v>567</v>
      </c>
      <c r="AJ9" s="21" t="s">
        <v>568</v>
      </c>
      <c r="AK9" s="21" t="s">
        <v>569</v>
      </c>
      <c r="AL9" s="21" t="s">
        <v>565</v>
      </c>
      <c r="AM9" s="21" t="s">
        <v>91</v>
      </c>
      <c r="AN9" s="21" t="s">
        <v>91</v>
      </c>
      <c r="AO9" s="21" t="s">
        <v>566</v>
      </c>
      <c r="AP9" s="21" t="s">
        <v>567</v>
      </c>
      <c r="AQ9" s="21" t="s">
        <v>568</v>
      </c>
      <c r="AR9" s="21" t="s">
        <v>569</v>
      </c>
      <c r="AS9" s="21" t="s">
        <v>565</v>
      </c>
      <c r="AT9" s="21" t="s">
        <v>91</v>
      </c>
      <c r="AU9" s="21" t="s">
        <v>91</v>
      </c>
      <c r="AV9" s="21" t="s">
        <v>566</v>
      </c>
      <c r="AW9" s="21" t="s">
        <v>567</v>
      </c>
      <c r="AX9" s="21" t="s">
        <v>568</v>
      </c>
      <c r="AY9" s="21" t="s">
        <v>569</v>
      </c>
      <c r="AZ9" s="21" t="s">
        <v>565</v>
      </c>
      <c r="BA9" s="21" t="s">
        <v>91</v>
      </c>
      <c r="BC9" s="21" t="s">
        <v>91</v>
      </c>
      <c r="BD9" s="21" t="s">
        <v>566</v>
      </c>
      <c r="BE9" s="21" t="s">
        <v>567</v>
      </c>
      <c r="BF9" s="21" t="s">
        <v>568</v>
      </c>
      <c r="BG9" s="21" t="s">
        <v>569</v>
      </c>
      <c r="BH9" s="21" t="s">
        <v>565</v>
      </c>
      <c r="BI9" s="21" t="s">
        <v>91</v>
      </c>
      <c r="BJ9" s="21" t="s">
        <v>91</v>
      </c>
      <c r="BK9" s="21" t="s">
        <v>566</v>
      </c>
      <c r="BL9" s="21" t="s">
        <v>567</v>
      </c>
      <c r="BM9" s="21" t="s">
        <v>568</v>
      </c>
      <c r="BN9" s="21" t="s">
        <v>569</v>
      </c>
      <c r="BO9" s="21" t="s">
        <v>565</v>
      </c>
      <c r="BP9" s="21" t="s">
        <v>91</v>
      </c>
      <c r="BQ9" s="21" t="s">
        <v>91</v>
      </c>
      <c r="BR9" s="21" t="s">
        <v>566</v>
      </c>
      <c r="BS9" s="21" t="s">
        <v>567</v>
      </c>
      <c r="BT9" s="21" t="s">
        <v>568</v>
      </c>
      <c r="BU9" s="21" t="s">
        <v>569</v>
      </c>
      <c r="BV9" s="21" t="s">
        <v>565</v>
      </c>
      <c r="BW9" s="21" t="s">
        <v>91</v>
      </c>
      <c r="BX9" s="21" t="s">
        <v>91</v>
      </c>
      <c r="BY9" s="21" t="s">
        <v>566</v>
      </c>
      <c r="BZ9" s="21" t="s">
        <v>567</v>
      </c>
      <c r="CA9" s="21" t="s">
        <v>568</v>
      </c>
      <c r="CB9" s="21" t="s">
        <v>569</v>
      </c>
      <c r="CC9" s="21" t="s">
        <v>565</v>
      </c>
      <c r="CD9" s="21" t="s">
        <v>91</v>
      </c>
      <c r="CE9" s="21" t="s">
        <v>91</v>
      </c>
      <c r="CF9" s="21" t="s">
        <v>566</v>
      </c>
      <c r="CG9" s="21" t="s">
        <v>567</v>
      </c>
      <c r="CI9" s="21" t="s">
        <v>568</v>
      </c>
      <c r="CJ9" s="21" t="s">
        <v>569</v>
      </c>
      <c r="CK9" s="21" t="s">
        <v>565</v>
      </c>
      <c r="CL9" s="21" t="s">
        <v>91</v>
      </c>
      <c r="CM9" s="21" t="s">
        <v>91</v>
      </c>
      <c r="CN9" s="21" t="s">
        <v>566</v>
      </c>
      <c r="CO9" s="21" t="s">
        <v>567</v>
      </c>
      <c r="CP9" s="21" t="s">
        <v>568</v>
      </c>
      <c r="CQ9" s="21" t="s">
        <v>569</v>
      </c>
      <c r="CR9" s="21" t="s">
        <v>565</v>
      </c>
      <c r="CS9" s="21" t="s">
        <v>91</v>
      </c>
      <c r="CT9" s="21" t="s">
        <v>91</v>
      </c>
      <c r="CU9" s="21" t="s">
        <v>566</v>
      </c>
      <c r="CV9" s="21" t="s">
        <v>567</v>
      </c>
      <c r="CW9" s="21" t="s">
        <v>568</v>
      </c>
      <c r="CX9" s="21" t="s">
        <v>569</v>
      </c>
      <c r="CY9" s="21" t="s">
        <v>565</v>
      </c>
      <c r="CZ9" s="21" t="s">
        <v>91</v>
      </c>
      <c r="DA9" s="21" t="s">
        <v>91</v>
      </c>
      <c r="DB9" s="21" t="s">
        <v>566</v>
      </c>
      <c r="DC9" s="21" t="s">
        <v>567</v>
      </c>
      <c r="DD9" s="21" t="s">
        <v>568</v>
      </c>
      <c r="DE9" s="21" t="s">
        <v>569</v>
      </c>
      <c r="DF9" s="21" t="s">
        <v>565</v>
      </c>
      <c r="DG9" s="21" t="s">
        <v>91</v>
      </c>
      <c r="DH9" s="21" t="s">
        <v>91</v>
      </c>
      <c r="DI9" s="21" t="s">
        <v>566</v>
      </c>
      <c r="DJ9" s="21" t="s">
        <v>567</v>
      </c>
      <c r="DK9" s="21" t="s">
        <v>568</v>
      </c>
      <c r="DL9" s="21" t="s">
        <v>569</v>
      </c>
      <c r="DN9" s="21" t="s">
        <v>565</v>
      </c>
      <c r="DO9" s="21" t="s">
        <v>91</v>
      </c>
      <c r="DP9" s="21" t="s">
        <v>91</v>
      </c>
      <c r="DQ9" s="21" t="s">
        <v>566</v>
      </c>
      <c r="DR9" s="21" t="s">
        <v>567</v>
      </c>
      <c r="DS9" s="21" t="s">
        <v>568</v>
      </c>
      <c r="DT9" s="21" t="s">
        <v>569</v>
      </c>
      <c r="DU9" s="21" t="s">
        <v>565</v>
      </c>
      <c r="DV9" s="21" t="s">
        <v>91</v>
      </c>
      <c r="DW9" s="21" t="s">
        <v>91</v>
      </c>
      <c r="DX9" s="21" t="s">
        <v>566</v>
      </c>
      <c r="DY9" s="21" t="s">
        <v>567</v>
      </c>
      <c r="DZ9" s="21" t="s">
        <v>568</v>
      </c>
      <c r="EA9" s="21" t="s">
        <v>569</v>
      </c>
      <c r="EB9" s="21" t="s">
        <v>565</v>
      </c>
      <c r="EC9" s="21" t="s">
        <v>91</v>
      </c>
      <c r="ED9" s="21" t="s">
        <v>91</v>
      </c>
      <c r="EE9" s="21" t="s">
        <v>566</v>
      </c>
      <c r="EF9" s="21" t="s">
        <v>567</v>
      </c>
      <c r="EG9" s="21" t="s">
        <v>568</v>
      </c>
      <c r="EH9" s="21" t="s">
        <v>569</v>
      </c>
      <c r="EI9" s="21" t="s">
        <v>565</v>
      </c>
      <c r="EJ9" s="21" t="s">
        <v>91</v>
      </c>
      <c r="EK9" s="21" t="s">
        <v>91</v>
      </c>
      <c r="EL9" s="21" t="s">
        <v>566</v>
      </c>
      <c r="EM9" s="21" t="s">
        <v>567</v>
      </c>
      <c r="EN9" s="21" t="s">
        <v>568</v>
      </c>
      <c r="EO9" s="21" t="s">
        <v>569</v>
      </c>
      <c r="EP9" s="21" t="s">
        <v>565</v>
      </c>
      <c r="EQ9" s="21" t="s">
        <v>91</v>
      </c>
      <c r="ER9" s="21" t="s">
        <v>91</v>
      </c>
    </row>
    <row r="10" spans="1:148" s="218" customFormat="1" ht="40.799999999999997" x14ac:dyDescent="0.3">
      <c r="B10" s="219">
        <v>45880</v>
      </c>
      <c r="C10" s="219">
        <v>45881</v>
      </c>
      <c r="D10" s="219">
        <v>45882</v>
      </c>
      <c r="E10" s="219">
        <v>45883</v>
      </c>
      <c r="F10" s="219">
        <v>45884</v>
      </c>
      <c r="G10" s="219">
        <v>45885</v>
      </c>
      <c r="H10" s="220">
        <v>45886</v>
      </c>
      <c r="I10" s="219">
        <v>45887</v>
      </c>
      <c r="J10" s="219">
        <v>45888</v>
      </c>
      <c r="K10" s="219">
        <v>45889</v>
      </c>
      <c r="L10" s="219">
        <v>45890</v>
      </c>
      <c r="M10" s="219">
        <v>45891</v>
      </c>
      <c r="N10" s="219">
        <v>45892</v>
      </c>
      <c r="O10" s="220">
        <v>45893</v>
      </c>
      <c r="P10" s="219">
        <v>45894</v>
      </c>
      <c r="Q10" s="219">
        <v>45895</v>
      </c>
      <c r="R10" s="219">
        <v>45896</v>
      </c>
      <c r="S10" s="219">
        <v>45897</v>
      </c>
      <c r="T10" s="219">
        <v>45898</v>
      </c>
      <c r="U10" s="219">
        <v>45899</v>
      </c>
      <c r="V10" s="220">
        <v>45900</v>
      </c>
      <c r="W10" s="219"/>
      <c r="X10" s="219">
        <v>45901</v>
      </c>
      <c r="Y10" s="219">
        <v>45902</v>
      </c>
      <c r="Z10" s="219">
        <v>45903</v>
      </c>
      <c r="AA10" s="219">
        <v>45904</v>
      </c>
      <c r="AB10" s="219">
        <v>45905</v>
      </c>
      <c r="AC10" s="219">
        <v>45906</v>
      </c>
      <c r="AD10" s="220">
        <v>45907</v>
      </c>
      <c r="AE10" s="219">
        <v>45908</v>
      </c>
      <c r="AF10" s="219">
        <v>45909</v>
      </c>
      <c r="AG10" s="219">
        <v>45910</v>
      </c>
      <c r="AH10" s="219">
        <v>45911</v>
      </c>
      <c r="AI10" s="219">
        <v>45912</v>
      </c>
      <c r="AJ10" s="219">
        <v>45913</v>
      </c>
      <c r="AK10" s="220">
        <v>45914</v>
      </c>
      <c r="AL10" s="219">
        <v>45915</v>
      </c>
      <c r="AM10" s="219">
        <v>45916</v>
      </c>
      <c r="AN10" s="219">
        <v>45917</v>
      </c>
      <c r="AO10" s="219">
        <v>45918</v>
      </c>
      <c r="AP10" s="219">
        <v>45919</v>
      </c>
      <c r="AQ10" s="219">
        <v>45920</v>
      </c>
      <c r="AR10" s="220">
        <v>45921</v>
      </c>
      <c r="AS10" s="219">
        <v>45922</v>
      </c>
      <c r="AT10" s="219">
        <v>45923</v>
      </c>
      <c r="AU10" s="219">
        <v>45924</v>
      </c>
      <c r="AV10" s="219">
        <v>45925</v>
      </c>
      <c r="AW10" s="219">
        <v>45926</v>
      </c>
      <c r="AX10" s="219">
        <v>45927</v>
      </c>
      <c r="AY10" s="220">
        <v>45928</v>
      </c>
      <c r="AZ10" s="219">
        <v>45929</v>
      </c>
      <c r="BA10" s="219">
        <v>45930</v>
      </c>
      <c r="BB10" s="219"/>
      <c r="BC10" s="219">
        <v>45931</v>
      </c>
      <c r="BD10" s="219">
        <v>45932</v>
      </c>
      <c r="BE10" s="219">
        <v>45933</v>
      </c>
      <c r="BF10" s="219">
        <v>45934</v>
      </c>
      <c r="BG10" s="220">
        <v>45935</v>
      </c>
      <c r="BH10" s="219">
        <v>45936</v>
      </c>
      <c r="BI10" s="219">
        <v>45937</v>
      </c>
      <c r="BJ10" s="219">
        <v>45938</v>
      </c>
      <c r="BK10" s="219">
        <v>45939</v>
      </c>
      <c r="BL10" s="219">
        <v>45940</v>
      </c>
      <c r="BM10" s="219">
        <v>45941</v>
      </c>
      <c r="BN10" s="220">
        <v>45942</v>
      </c>
      <c r="BO10" s="219">
        <v>45943</v>
      </c>
      <c r="BP10" s="219">
        <v>45944</v>
      </c>
      <c r="BQ10" s="219">
        <v>45945</v>
      </c>
      <c r="BR10" s="219">
        <v>45946</v>
      </c>
      <c r="BS10" s="219">
        <v>45947</v>
      </c>
      <c r="BT10" s="219">
        <v>45948</v>
      </c>
      <c r="BU10" s="220">
        <v>45949</v>
      </c>
      <c r="BV10" s="219">
        <v>45950</v>
      </c>
      <c r="BW10" s="219">
        <v>45951</v>
      </c>
      <c r="BX10" s="219">
        <v>45952</v>
      </c>
      <c r="BY10" s="219">
        <v>45953</v>
      </c>
      <c r="BZ10" s="219">
        <v>45954</v>
      </c>
      <c r="CA10" s="219">
        <v>45955</v>
      </c>
      <c r="CB10" s="220">
        <v>45956</v>
      </c>
      <c r="CC10" s="219">
        <v>45957</v>
      </c>
      <c r="CD10" s="219">
        <v>45958</v>
      </c>
      <c r="CE10" s="219">
        <v>45959</v>
      </c>
      <c r="CF10" s="219">
        <v>45960</v>
      </c>
      <c r="CG10" s="219">
        <v>45961</v>
      </c>
      <c r="CH10" s="219"/>
      <c r="CI10" s="219">
        <v>45962</v>
      </c>
      <c r="CJ10" s="220">
        <v>45963</v>
      </c>
      <c r="CK10" s="219">
        <v>45964</v>
      </c>
      <c r="CL10" s="219">
        <v>45965</v>
      </c>
      <c r="CM10" s="219">
        <v>45966</v>
      </c>
      <c r="CN10" s="219">
        <v>45967</v>
      </c>
      <c r="CO10" s="219">
        <v>45968</v>
      </c>
      <c r="CP10" s="219">
        <v>45969</v>
      </c>
      <c r="CQ10" s="220">
        <v>45970</v>
      </c>
      <c r="CR10" s="219">
        <v>45971</v>
      </c>
      <c r="CS10" s="219">
        <v>45972</v>
      </c>
      <c r="CT10" s="219">
        <v>45973</v>
      </c>
      <c r="CU10" s="219">
        <v>45974</v>
      </c>
      <c r="CV10" s="219">
        <v>45975</v>
      </c>
      <c r="CW10" s="219">
        <v>45976</v>
      </c>
      <c r="CX10" s="220">
        <v>45977</v>
      </c>
      <c r="CY10" s="219">
        <v>45978</v>
      </c>
      <c r="CZ10" s="219">
        <v>45979</v>
      </c>
      <c r="DA10" s="219">
        <v>45980</v>
      </c>
      <c r="DB10" s="219">
        <v>45981</v>
      </c>
      <c r="DC10" s="219">
        <v>45982</v>
      </c>
      <c r="DD10" s="219">
        <v>45983</v>
      </c>
      <c r="DE10" s="220">
        <v>45984</v>
      </c>
      <c r="DF10" s="219">
        <v>45985</v>
      </c>
      <c r="DG10" s="219">
        <v>45986</v>
      </c>
      <c r="DH10" s="219">
        <v>45987</v>
      </c>
      <c r="DI10" s="219">
        <v>45988</v>
      </c>
      <c r="DJ10" s="219">
        <v>45989</v>
      </c>
      <c r="DK10" s="219">
        <v>45990</v>
      </c>
      <c r="DL10" s="220">
        <v>45991</v>
      </c>
      <c r="DM10" s="219"/>
      <c r="DN10" s="219">
        <v>45992</v>
      </c>
      <c r="DO10" s="219">
        <v>45993</v>
      </c>
      <c r="DP10" s="219">
        <v>45994</v>
      </c>
      <c r="DQ10" s="219">
        <v>45995</v>
      </c>
      <c r="DR10" s="219">
        <v>45996</v>
      </c>
      <c r="DS10" s="219">
        <v>45997</v>
      </c>
      <c r="DT10" s="220">
        <v>45998</v>
      </c>
      <c r="DU10" s="219">
        <v>45999</v>
      </c>
      <c r="DV10" s="219">
        <v>46000</v>
      </c>
      <c r="DW10" s="219">
        <v>46001</v>
      </c>
      <c r="DX10" s="219">
        <v>46002</v>
      </c>
      <c r="DY10" s="219">
        <v>46003</v>
      </c>
      <c r="DZ10" s="219">
        <v>46004</v>
      </c>
      <c r="EA10" s="220">
        <v>46005</v>
      </c>
      <c r="EB10" s="219">
        <v>46006</v>
      </c>
      <c r="EC10" s="219">
        <v>46007</v>
      </c>
      <c r="ED10" s="219">
        <v>46008</v>
      </c>
      <c r="EE10" s="219">
        <v>46009</v>
      </c>
      <c r="EF10" s="219">
        <v>46010</v>
      </c>
      <c r="EG10" s="219">
        <v>46011</v>
      </c>
      <c r="EH10" s="220">
        <v>46012</v>
      </c>
      <c r="EI10" s="219">
        <v>46013</v>
      </c>
      <c r="EJ10" s="219">
        <v>46014</v>
      </c>
      <c r="EK10" s="219">
        <v>46015</v>
      </c>
      <c r="EL10" s="220">
        <v>46016</v>
      </c>
      <c r="EM10" s="219">
        <v>46017</v>
      </c>
      <c r="EN10" s="219">
        <v>46018</v>
      </c>
      <c r="EO10" s="220">
        <v>46019</v>
      </c>
      <c r="EP10" s="219">
        <v>46020</v>
      </c>
      <c r="EQ10" s="219">
        <v>46021</v>
      </c>
      <c r="ER10" s="219">
        <v>46022</v>
      </c>
    </row>
    <row r="11" spans="1:148" ht="4.95" customHeight="1" x14ac:dyDescent="0.3"/>
    <row r="12" spans="1:148" s="17" customFormat="1" x14ac:dyDescent="0.3">
      <c r="D12" s="17">
        <v>9</v>
      </c>
      <c r="E12" s="17">
        <v>15</v>
      </c>
      <c r="F12" s="17">
        <v>16</v>
      </c>
      <c r="I12" s="17">
        <v>15</v>
      </c>
      <c r="J12" s="17">
        <v>9</v>
      </c>
      <c r="K12" s="17">
        <v>3</v>
      </c>
      <c r="L12" s="17">
        <v>6</v>
      </c>
      <c r="M12" s="221"/>
      <c r="P12" s="17">
        <v>2</v>
      </c>
      <c r="Q12" s="17">
        <v>9</v>
      </c>
      <c r="R12" s="17">
        <v>18</v>
      </c>
      <c r="S12" s="17">
        <v>18</v>
      </c>
      <c r="T12" s="17">
        <v>21</v>
      </c>
      <c r="X12" s="17">
        <v>12</v>
      </c>
      <c r="Y12" s="17">
        <v>12</v>
      </c>
      <c r="Z12" s="17">
        <v>3</v>
      </c>
      <c r="AA12" s="17">
        <v>18</v>
      </c>
      <c r="AB12" s="17">
        <v>10</v>
      </c>
      <c r="AE12" s="17">
        <v>9</v>
      </c>
      <c r="AF12" s="17">
        <v>15</v>
      </c>
      <c r="AL12" s="17">
        <v>12</v>
      </c>
      <c r="AN12" s="17">
        <v>3</v>
      </c>
      <c r="AO12" s="17">
        <v>6</v>
      </c>
      <c r="AS12" s="17">
        <v>10</v>
      </c>
      <c r="AT12" s="17">
        <v>24</v>
      </c>
      <c r="AU12" s="17">
        <v>9</v>
      </c>
      <c r="AV12" s="17">
        <v>24</v>
      </c>
      <c r="AW12" s="17">
        <v>15</v>
      </c>
      <c r="AZ12" s="17">
        <v>9</v>
      </c>
      <c r="BA12" s="17">
        <v>30</v>
      </c>
      <c r="BC12" s="17">
        <v>15</v>
      </c>
      <c r="BD12" s="17">
        <v>24</v>
      </c>
      <c r="BH12" s="17">
        <v>1.6</v>
      </c>
      <c r="BI12" s="17">
        <v>3</v>
      </c>
      <c r="BJ12" s="17">
        <v>4</v>
      </c>
      <c r="BP12" s="17">
        <v>12</v>
      </c>
      <c r="BQ12" s="17">
        <v>13</v>
      </c>
      <c r="BS12" s="17">
        <v>3</v>
      </c>
      <c r="BV12" s="17">
        <v>15</v>
      </c>
      <c r="BW12" s="17">
        <v>2</v>
      </c>
      <c r="CC12" s="17">
        <v>4</v>
      </c>
      <c r="CF12" s="17">
        <v>9</v>
      </c>
      <c r="CK12" s="17">
        <v>4</v>
      </c>
      <c r="CN12" s="17">
        <v>2</v>
      </c>
      <c r="CO12" s="17">
        <v>3</v>
      </c>
      <c r="CR12" s="17">
        <v>9</v>
      </c>
      <c r="CS12" s="17">
        <v>9</v>
      </c>
      <c r="CT12" s="17">
        <v>18</v>
      </c>
      <c r="CU12" s="17">
        <v>9</v>
      </c>
      <c r="CV12" s="17">
        <v>5</v>
      </c>
      <c r="CZ12" s="17">
        <v>5</v>
      </c>
      <c r="DA12" s="17">
        <v>4</v>
      </c>
      <c r="DC12" s="17">
        <v>12</v>
      </c>
      <c r="DD12" s="17">
        <v>3</v>
      </c>
      <c r="DH12" s="17">
        <v>12</v>
      </c>
      <c r="DI12" s="17">
        <v>15</v>
      </c>
      <c r="DJ12" s="17">
        <v>9</v>
      </c>
      <c r="DN12" s="17">
        <v>5</v>
      </c>
      <c r="DW12" s="17">
        <v>12</v>
      </c>
      <c r="DX12" s="17">
        <v>9</v>
      </c>
      <c r="EC12" s="17">
        <v>9</v>
      </c>
      <c r="ED12" s="17">
        <v>9</v>
      </c>
      <c r="EE12" s="17">
        <v>4</v>
      </c>
      <c r="EF12" s="17">
        <v>15</v>
      </c>
      <c r="EG12" s="17">
        <v>6</v>
      </c>
      <c r="EH12" s="17">
        <v>9</v>
      </c>
    </row>
    <row r="13" spans="1:148" x14ac:dyDescent="0.3">
      <c r="AA13">
        <v>8</v>
      </c>
      <c r="AB13">
        <v>18</v>
      </c>
      <c r="AE13">
        <v>9</v>
      </c>
      <c r="BW13">
        <v>3</v>
      </c>
      <c r="CK13">
        <v>4</v>
      </c>
      <c r="CR13">
        <v>6</v>
      </c>
      <c r="EC13">
        <v>3</v>
      </c>
    </row>
  </sheetData>
  <mergeCells count="31">
    <mergeCell ref="L2:Q2"/>
    <mergeCell ref="L3:Q5"/>
    <mergeCell ref="B7:V7"/>
    <mergeCell ref="X7:BA7"/>
    <mergeCell ref="BC7:CG7"/>
    <mergeCell ref="E2:J2"/>
    <mergeCell ref="E3:J5"/>
    <mergeCell ref="S2:X2"/>
    <mergeCell ref="S3:X5"/>
    <mergeCell ref="DN7:ER7"/>
    <mergeCell ref="B8:H8"/>
    <mergeCell ref="I8:O8"/>
    <mergeCell ref="P8:V8"/>
    <mergeCell ref="X8:AD8"/>
    <mergeCell ref="AE8:AK8"/>
    <mergeCell ref="AL8:AR8"/>
    <mergeCell ref="AS8:AY8"/>
    <mergeCell ref="AZ8:BG8"/>
    <mergeCell ref="BH8:BN8"/>
    <mergeCell ref="CI7:DL7"/>
    <mergeCell ref="BO8:BU8"/>
    <mergeCell ref="BV8:CB8"/>
    <mergeCell ref="CC8:CJ8"/>
    <mergeCell ref="CK8:CQ8"/>
    <mergeCell ref="EI8:EO8"/>
    <mergeCell ref="CR8:CX8"/>
    <mergeCell ref="DF8:DL8"/>
    <mergeCell ref="DN8:DT8"/>
    <mergeCell ref="DU8:EA8"/>
    <mergeCell ref="EB8:EH8"/>
    <mergeCell ref="CY8:DE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669C-29CF-4653-8C38-0F4C59868CB6}">
  <dimension ref="B1:G53"/>
  <sheetViews>
    <sheetView workbookViewId="0">
      <selection activeCell="F3" sqref="F3"/>
    </sheetView>
  </sheetViews>
  <sheetFormatPr baseColWidth="10" defaultRowHeight="14.4" x14ac:dyDescent="0.3"/>
  <cols>
    <col min="1" max="1" width="3.88671875" customWidth="1"/>
    <col min="2" max="2" width="21.44140625" bestFit="1" customWidth="1"/>
    <col min="3" max="4" width="8.109375" style="76" bestFit="1" customWidth="1"/>
    <col min="5" max="5" width="6.33203125" style="21" customWidth="1"/>
    <col min="6" max="6" width="67.88671875" style="192" bestFit="1" customWidth="1"/>
    <col min="7" max="7" width="9.33203125" bestFit="1" customWidth="1"/>
  </cols>
  <sheetData>
    <row r="1" spans="2:7" s="68" customFormat="1" ht="10.050000000000001" customHeight="1" x14ac:dyDescent="0.3">
      <c r="C1" s="76"/>
      <c r="D1" s="76"/>
      <c r="E1" s="21"/>
      <c r="F1" s="192"/>
    </row>
    <row r="2" spans="2:7" s="222" customFormat="1" ht="15" customHeight="1" x14ac:dyDescent="0.3">
      <c r="B2" s="238" t="s">
        <v>481</v>
      </c>
      <c r="C2" s="239" t="s">
        <v>572</v>
      </c>
      <c r="D2" s="239" t="s">
        <v>573</v>
      </c>
      <c r="E2" s="239"/>
      <c r="F2" s="239" t="s">
        <v>12</v>
      </c>
      <c r="G2" s="238" t="s">
        <v>651</v>
      </c>
    </row>
    <row r="3" spans="2:7" s="222" customFormat="1" ht="13.05" customHeight="1" x14ac:dyDescent="0.3">
      <c r="B3" s="68" t="s">
        <v>574</v>
      </c>
      <c r="C3" s="230">
        <v>0.29166666666666669</v>
      </c>
      <c r="D3" s="230">
        <v>0.375</v>
      </c>
      <c r="E3" s="231">
        <f>D3-C3</f>
        <v>8.3333333333333315E-2</v>
      </c>
      <c r="F3" s="225" t="s">
        <v>576</v>
      </c>
    </row>
    <row r="4" spans="2:7" s="222" customFormat="1" ht="13.05" customHeight="1" x14ac:dyDescent="0.3">
      <c r="B4" s="68" t="s">
        <v>575</v>
      </c>
      <c r="C4" s="167"/>
      <c r="D4" s="167"/>
      <c r="E4" s="231">
        <f t="shared" ref="E4:E12" si="0">D4-C4</f>
        <v>0</v>
      </c>
      <c r="F4" s="225" t="s">
        <v>577</v>
      </c>
    </row>
    <row r="5" spans="2:7" s="68" customFormat="1" ht="13.05" customHeight="1" x14ac:dyDescent="0.3">
      <c r="B5" s="68" t="s">
        <v>570</v>
      </c>
      <c r="C5" s="230">
        <v>0.70833333333333337</v>
      </c>
      <c r="D5" s="230">
        <v>0.75</v>
      </c>
      <c r="E5" s="231">
        <f t="shared" si="0"/>
        <v>4.166666666666663E-2</v>
      </c>
      <c r="F5" s="192" t="s">
        <v>571</v>
      </c>
    </row>
    <row r="6" spans="2:7" s="68" customFormat="1" ht="13.8" x14ac:dyDescent="0.3">
      <c r="B6" s="68" t="s">
        <v>578</v>
      </c>
      <c r="C6" s="230">
        <v>0.375</v>
      </c>
      <c r="D6" s="230">
        <v>0.40277777777777779</v>
      </c>
      <c r="E6" s="231">
        <f t="shared" si="0"/>
        <v>2.777777777777779E-2</v>
      </c>
      <c r="F6" s="192" t="s">
        <v>579</v>
      </c>
    </row>
    <row r="7" spans="2:7" s="68" customFormat="1" ht="13.8" x14ac:dyDescent="0.3">
      <c r="B7" s="68" t="s">
        <v>580</v>
      </c>
      <c r="C7" s="76"/>
      <c r="D7" s="76"/>
      <c r="E7" s="231">
        <f t="shared" si="0"/>
        <v>0</v>
      </c>
      <c r="F7" s="192" t="s">
        <v>581</v>
      </c>
    </row>
    <row r="8" spans="2:7" s="68" customFormat="1" ht="13.8" x14ac:dyDescent="0.3">
      <c r="B8" s="68" t="s">
        <v>582</v>
      </c>
      <c r="C8" s="230">
        <v>0.60416666666666663</v>
      </c>
      <c r="D8" s="230">
        <v>0.75</v>
      </c>
      <c r="E8" s="231">
        <f t="shared" si="0"/>
        <v>0.14583333333333337</v>
      </c>
      <c r="F8" s="192" t="s">
        <v>583</v>
      </c>
    </row>
    <row r="9" spans="2:7" s="68" customFormat="1" ht="13.8" x14ac:dyDescent="0.3">
      <c r="B9" s="68" t="s">
        <v>584</v>
      </c>
      <c r="C9" s="230">
        <v>0.375</v>
      </c>
      <c r="D9" s="230">
        <v>0.75</v>
      </c>
      <c r="E9" s="231">
        <f t="shared" si="0"/>
        <v>0.375</v>
      </c>
      <c r="F9" s="192" t="s">
        <v>585</v>
      </c>
    </row>
    <row r="10" spans="2:7" s="68" customFormat="1" ht="13.8" x14ac:dyDescent="0.3">
      <c r="B10" s="68" t="s">
        <v>586</v>
      </c>
      <c r="C10" s="230">
        <v>0.41666666666666702</v>
      </c>
      <c r="D10" s="230">
        <v>0.44444444444444442</v>
      </c>
      <c r="E10" s="231">
        <f t="shared" si="0"/>
        <v>2.7777777777777402E-2</v>
      </c>
      <c r="F10" s="192" t="s">
        <v>587</v>
      </c>
    </row>
    <row r="11" spans="2:7" s="68" customFormat="1" ht="13.8" x14ac:dyDescent="0.3">
      <c r="B11" s="68" t="s">
        <v>588</v>
      </c>
      <c r="C11" s="230">
        <v>0.58333333333333337</v>
      </c>
      <c r="D11" s="230">
        <v>0.75</v>
      </c>
      <c r="E11" s="231">
        <f t="shared" si="0"/>
        <v>0.16666666666666663</v>
      </c>
      <c r="F11" s="192" t="s">
        <v>589</v>
      </c>
    </row>
    <row r="12" spans="2:7" s="68" customFormat="1" ht="13.8" x14ac:dyDescent="0.3">
      <c r="B12" s="68" t="s">
        <v>590</v>
      </c>
      <c r="C12" s="76"/>
      <c r="D12" s="76"/>
      <c r="E12" s="231">
        <f t="shared" si="0"/>
        <v>0</v>
      </c>
      <c r="F12" s="192" t="s">
        <v>591</v>
      </c>
    </row>
    <row r="13" spans="2:7" s="68" customFormat="1" ht="13.8" x14ac:dyDescent="0.3">
      <c r="B13" s="68" t="s">
        <v>593</v>
      </c>
      <c r="C13" s="230">
        <v>0.45833333333333331</v>
      </c>
      <c r="D13" s="230">
        <v>0.5</v>
      </c>
      <c r="E13" s="231">
        <f t="shared" ref="E13:E29" si="1">D13-C13</f>
        <v>4.1666666666666685E-2</v>
      </c>
      <c r="F13" s="192" t="s">
        <v>592</v>
      </c>
    </row>
    <row r="14" spans="2:7" s="224" customFormat="1" ht="24" x14ac:dyDescent="0.3">
      <c r="B14" s="224" t="s">
        <v>594</v>
      </c>
      <c r="C14" s="232">
        <v>0.54166666666666663</v>
      </c>
      <c r="D14" s="232">
        <v>0.70833333333333337</v>
      </c>
      <c r="E14" s="231">
        <f t="shared" si="1"/>
        <v>0.16666666666666674</v>
      </c>
      <c r="F14" s="229" t="s">
        <v>595</v>
      </c>
      <c r="G14" s="233" t="s">
        <v>596</v>
      </c>
    </row>
    <row r="15" spans="2:7" s="68" customFormat="1" ht="24" x14ac:dyDescent="0.3">
      <c r="B15" s="224" t="s">
        <v>597</v>
      </c>
      <c r="C15" s="232">
        <v>0.35416666666666669</v>
      </c>
      <c r="D15" s="232">
        <v>0.75</v>
      </c>
      <c r="E15" s="231">
        <f t="shared" si="1"/>
        <v>0.39583333333333331</v>
      </c>
      <c r="F15" s="229" t="s">
        <v>598</v>
      </c>
      <c r="G15" s="233" t="s">
        <v>596</v>
      </c>
    </row>
    <row r="16" spans="2:7" s="223" customFormat="1" ht="21.6" x14ac:dyDescent="0.3">
      <c r="B16" s="224" t="s">
        <v>599</v>
      </c>
      <c r="C16" s="232">
        <v>0.625</v>
      </c>
      <c r="D16" s="232">
        <v>0.70833333333333337</v>
      </c>
      <c r="E16" s="231">
        <f t="shared" si="1"/>
        <v>8.333333333333337E-2</v>
      </c>
      <c r="F16" s="192" t="s">
        <v>600</v>
      </c>
      <c r="G16" s="233" t="s">
        <v>596</v>
      </c>
    </row>
    <row r="17" spans="2:7" s="223" customFormat="1" ht="24" x14ac:dyDescent="0.3">
      <c r="B17" s="224" t="s">
        <v>599</v>
      </c>
      <c r="C17" s="232">
        <v>0.33333333333333331</v>
      </c>
      <c r="D17" s="232">
        <v>0.58333333333333337</v>
      </c>
      <c r="E17" s="231">
        <f t="shared" si="1"/>
        <v>0.25000000000000006</v>
      </c>
      <c r="F17" s="229" t="s">
        <v>601</v>
      </c>
      <c r="G17" s="233" t="s">
        <v>596</v>
      </c>
    </row>
    <row r="18" spans="2:7" s="223" customFormat="1" ht="24" x14ac:dyDescent="0.3">
      <c r="B18" s="224" t="s">
        <v>599</v>
      </c>
      <c r="C18" s="192"/>
      <c r="D18" s="192"/>
      <c r="E18" s="231">
        <f t="shared" si="1"/>
        <v>0</v>
      </c>
      <c r="F18" s="229" t="s">
        <v>602</v>
      </c>
      <c r="G18" s="233" t="s">
        <v>596</v>
      </c>
    </row>
    <row r="19" spans="2:7" s="223" customFormat="1" ht="13.8" x14ac:dyDescent="0.3">
      <c r="B19" s="224" t="s">
        <v>603</v>
      </c>
      <c r="C19" s="232">
        <v>0.6875</v>
      </c>
      <c r="D19" s="232">
        <v>0.72916666666666663</v>
      </c>
      <c r="E19" s="231">
        <f t="shared" si="1"/>
        <v>4.166666666666663E-2</v>
      </c>
      <c r="F19" s="192" t="s">
        <v>612</v>
      </c>
    </row>
    <row r="20" spans="2:7" s="68" customFormat="1" ht="13.8" x14ac:dyDescent="0.3">
      <c r="B20" s="224" t="s">
        <v>604</v>
      </c>
      <c r="C20" s="232">
        <v>0.29166666666666669</v>
      </c>
      <c r="D20" s="232">
        <v>0.66666666666666663</v>
      </c>
      <c r="E20" s="231">
        <f t="shared" si="1"/>
        <v>0.37499999999999994</v>
      </c>
      <c r="F20" s="192" t="s">
        <v>605</v>
      </c>
      <c r="G20" s="233" t="s">
        <v>606</v>
      </c>
    </row>
    <row r="21" spans="2:7" s="68" customFormat="1" ht="13.8" x14ac:dyDescent="0.3">
      <c r="B21" s="224" t="s">
        <v>607</v>
      </c>
      <c r="C21" s="76"/>
      <c r="D21" s="76"/>
      <c r="E21" s="231">
        <f t="shared" si="1"/>
        <v>0</v>
      </c>
      <c r="F21" s="192" t="s">
        <v>608</v>
      </c>
    </row>
    <row r="22" spans="2:7" s="68" customFormat="1" ht="24.6" x14ac:dyDescent="0.3">
      <c r="B22" s="224" t="s">
        <v>609</v>
      </c>
      <c r="C22" s="76"/>
      <c r="D22" s="76"/>
      <c r="E22" s="231">
        <f t="shared" si="1"/>
        <v>0</v>
      </c>
      <c r="F22" s="228" t="s">
        <v>610</v>
      </c>
    </row>
    <row r="23" spans="2:7" s="68" customFormat="1" ht="13.8" x14ac:dyDescent="0.3">
      <c r="B23" s="224" t="s">
        <v>611</v>
      </c>
      <c r="C23" s="232">
        <v>0.5625</v>
      </c>
      <c r="D23" s="232">
        <v>0.75</v>
      </c>
      <c r="E23" s="231">
        <f t="shared" si="1"/>
        <v>0.1875</v>
      </c>
      <c r="F23" s="192" t="s">
        <v>613</v>
      </c>
    </row>
    <row r="24" spans="2:7" s="68" customFormat="1" ht="24.6" x14ac:dyDescent="0.3">
      <c r="B24" s="224" t="s">
        <v>611</v>
      </c>
      <c r="C24" s="232">
        <v>0.5625</v>
      </c>
      <c r="D24" s="232">
        <v>0.70138888888888884</v>
      </c>
      <c r="E24" s="231">
        <f t="shared" si="1"/>
        <v>0.13888888888888884</v>
      </c>
      <c r="F24" s="228" t="s">
        <v>614</v>
      </c>
    </row>
    <row r="25" spans="2:7" s="68" customFormat="1" ht="13.8" x14ac:dyDescent="0.3">
      <c r="B25" s="224" t="s">
        <v>611</v>
      </c>
      <c r="C25" s="232">
        <v>0.5625</v>
      </c>
      <c r="D25" s="232">
        <v>0.70138888888888884</v>
      </c>
      <c r="E25" s="231">
        <f t="shared" si="1"/>
        <v>0.13888888888888884</v>
      </c>
      <c r="F25" s="192" t="s">
        <v>615</v>
      </c>
    </row>
    <row r="26" spans="2:7" s="68" customFormat="1" ht="13.8" x14ac:dyDescent="0.3">
      <c r="B26" s="224" t="s">
        <v>616</v>
      </c>
      <c r="C26" s="232">
        <v>0.64583333333333337</v>
      </c>
      <c r="D26" s="232">
        <v>0.70486111111111116</v>
      </c>
      <c r="E26" s="231">
        <f t="shared" si="1"/>
        <v>5.902777777777779E-2</v>
      </c>
      <c r="F26" s="192" t="s">
        <v>617</v>
      </c>
    </row>
    <row r="27" spans="2:7" s="68" customFormat="1" ht="13.8" x14ac:dyDescent="0.3">
      <c r="B27" s="224" t="s">
        <v>618</v>
      </c>
      <c r="C27" s="232">
        <v>0.60416666666666663</v>
      </c>
      <c r="D27" s="232">
        <v>0.625</v>
      </c>
      <c r="E27" s="231">
        <f t="shared" si="1"/>
        <v>2.083333333333337E-2</v>
      </c>
      <c r="F27" s="192" t="s">
        <v>619</v>
      </c>
    </row>
    <row r="28" spans="2:7" s="68" customFormat="1" ht="24.6" x14ac:dyDescent="0.3">
      <c r="B28" s="224" t="s">
        <v>620</v>
      </c>
      <c r="C28" s="76"/>
      <c r="D28" s="76"/>
      <c r="E28" s="231">
        <f t="shared" si="1"/>
        <v>0</v>
      </c>
      <c r="F28" s="228" t="s">
        <v>621</v>
      </c>
    </row>
    <row r="29" spans="2:7" s="68" customFormat="1" ht="24.6" x14ac:dyDescent="0.3">
      <c r="B29" s="224" t="s">
        <v>622</v>
      </c>
      <c r="C29" s="232">
        <v>0.5625</v>
      </c>
      <c r="D29" s="232">
        <v>0.66666666666666663</v>
      </c>
      <c r="E29" s="231">
        <f t="shared" si="1"/>
        <v>0.10416666666666663</v>
      </c>
      <c r="F29" s="228" t="s">
        <v>623</v>
      </c>
    </row>
    <row r="30" spans="2:7" s="68" customFormat="1" ht="21.6" x14ac:dyDescent="0.3">
      <c r="B30" s="224" t="s">
        <v>622</v>
      </c>
      <c r="C30" s="232">
        <v>0.60416666666666663</v>
      </c>
      <c r="D30" s="232">
        <v>0.70486111111111116</v>
      </c>
      <c r="E30" s="231">
        <f t="shared" ref="E30:E32" si="2">D30-C30</f>
        <v>0.10069444444444453</v>
      </c>
      <c r="F30" s="192" t="s">
        <v>659</v>
      </c>
      <c r="G30" s="233" t="s">
        <v>596</v>
      </c>
    </row>
    <row r="31" spans="2:7" s="68" customFormat="1" ht="13.8" x14ac:dyDescent="0.3">
      <c r="B31" s="224" t="s">
        <v>624</v>
      </c>
      <c r="C31" s="76"/>
      <c r="D31" s="76"/>
      <c r="E31" s="231">
        <f t="shared" si="2"/>
        <v>0</v>
      </c>
      <c r="F31" s="192" t="s">
        <v>659</v>
      </c>
    </row>
    <row r="32" spans="2:7" s="68" customFormat="1" ht="13.8" x14ac:dyDescent="0.3">
      <c r="B32" s="224" t="s">
        <v>624</v>
      </c>
      <c r="C32" s="76"/>
      <c r="D32" s="76"/>
      <c r="E32" s="231">
        <f t="shared" si="2"/>
        <v>0</v>
      </c>
      <c r="F32" s="192" t="s">
        <v>625</v>
      </c>
    </row>
    <row r="33" spans="2:7" s="68" customFormat="1" ht="24.6" x14ac:dyDescent="0.3">
      <c r="B33" s="224" t="s">
        <v>624</v>
      </c>
      <c r="C33" s="232">
        <v>0.70833333333333337</v>
      </c>
      <c r="D33" s="232">
        <v>0.75</v>
      </c>
      <c r="E33" s="231">
        <f>D33-C33</f>
        <v>4.166666666666663E-2</v>
      </c>
      <c r="F33" s="228" t="s">
        <v>626</v>
      </c>
    </row>
    <row r="34" spans="2:7" s="68" customFormat="1" ht="13.8" x14ac:dyDescent="0.3">
      <c r="B34" s="224" t="s">
        <v>628</v>
      </c>
      <c r="C34" s="232">
        <v>0.625</v>
      </c>
      <c r="D34" s="232">
        <v>0.75</v>
      </c>
      <c r="E34" s="231">
        <f>D34-C34</f>
        <v>0.125</v>
      </c>
      <c r="F34" s="192" t="s">
        <v>629</v>
      </c>
    </row>
    <row r="35" spans="2:7" s="68" customFormat="1" ht="13.8" x14ac:dyDescent="0.3">
      <c r="B35" s="224" t="s">
        <v>630</v>
      </c>
      <c r="C35" s="76"/>
      <c r="D35" s="76"/>
      <c r="E35" s="231">
        <f t="shared" ref="E35:E39" si="3">D35-C35</f>
        <v>0</v>
      </c>
      <c r="F35" s="192" t="s">
        <v>631</v>
      </c>
    </row>
    <row r="36" spans="2:7" s="68" customFormat="1" ht="13.8" x14ac:dyDescent="0.3">
      <c r="B36" s="224" t="s">
        <v>633</v>
      </c>
      <c r="C36" s="76"/>
      <c r="D36" s="76"/>
      <c r="E36" s="231">
        <f t="shared" si="3"/>
        <v>0</v>
      </c>
      <c r="F36" s="192" t="s">
        <v>632</v>
      </c>
    </row>
    <row r="37" spans="2:7" s="68" customFormat="1" ht="13.8" x14ac:dyDescent="0.3">
      <c r="B37" s="224" t="s">
        <v>634</v>
      </c>
      <c r="C37" s="76"/>
      <c r="D37" s="76"/>
      <c r="E37" s="231">
        <f t="shared" si="3"/>
        <v>0</v>
      </c>
      <c r="F37" s="192" t="s">
        <v>632</v>
      </c>
    </row>
    <row r="38" spans="2:7" s="68" customFormat="1" ht="13.8" x14ac:dyDescent="0.3">
      <c r="B38" s="224" t="s">
        <v>635</v>
      </c>
      <c r="C38" s="232">
        <v>0.625</v>
      </c>
      <c r="D38" s="232">
        <v>0.75</v>
      </c>
      <c r="E38" s="231">
        <f t="shared" si="3"/>
        <v>0.125</v>
      </c>
      <c r="F38" s="192" t="s">
        <v>636</v>
      </c>
    </row>
    <row r="39" spans="2:7" ht="21.6" x14ac:dyDescent="0.3">
      <c r="B39" s="224" t="s">
        <v>643</v>
      </c>
      <c r="E39" s="231">
        <f t="shared" si="3"/>
        <v>0</v>
      </c>
      <c r="F39" s="192" t="s">
        <v>637</v>
      </c>
      <c r="G39" s="233" t="s">
        <v>596</v>
      </c>
    </row>
    <row r="40" spans="2:7" ht="21.6" x14ac:dyDescent="0.3">
      <c r="B40" s="224" t="s">
        <v>642</v>
      </c>
      <c r="C40" s="232">
        <v>0.64583333333333337</v>
      </c>
      <c r="D40" s="232">
        <v>0.75</v>
      </c>
      <c r="E40" s="231">
        <f t="shared" ref="E40:E44" si="4">D40-C40</f>
        <v>0.10416666666666663</v>
      </c>
      <c r="F40" s="192" t="s">
        <v>638</v>
      </c>
      <c r="G40" s="233" t="s">
        <v>650</v>
      </c>
    </row>
    <row r="41" spans="2:7" ht="21.6" x14ac:dyDescent="0.3">
      <c r="B41" s="224" t="s">
        <v>649</v>
      </c>
      <c r="C41" s="232">
        <v>0.45833333333333331</v>
      </c>
      <c r="D41" s="232">
        <v>0.5</v>
      </c>
      <c r="E41" s="231">
        <f t="shared" ref="E41:E42" si="5">D41-C41</f>
        <v>4.1666666666666685E-2</v>
      </c>
      <c r="F41" s="192" t="s">
        <v>638</v>
      </c>
      <c r="G41" s="233" t="s">
        <v>650</v>
      </c>
    </row>
    <row r="42" spans="2:7" ht="21.6" x14ac:dyDescent="0.3">
      <c r="B42" s="224" t="s">
        <v>649</v>
      </c>
      <c r="C42" s="232">
        <v>0.64583333333333337</v>
      </c>
      <c r="D42" s="232">
        <v>0.75</v>
      </c>
      <c r="E42" s="231">
        <f t="shared" si="5"/>
        <v>0.10416666666666663</v>
      </c>
      <c r="F42" s="192" t="s">
        <v>638</v>
      </c>
      <c r="G42" s="233" t="s">
        <v>650</v>
      </c>
    </row>
    <row r="43" spans="2:7" ht="21.6" x14ac:dyDescent="0.3">
      <c r="B43" s="224" t="s">
        <v>641</v>
      </c>
      <c r="E43" s="231">
        <f t="shared" si="4"/>
        <v>0</v>
      </c>
      <c r="F43" s="192" t="s">
        <v>639</v>
      </c>
      <c r="G43" s="233" t="s">
        <v>596</v>
      </c>
    </row>
    <row r="44" spans="2:7" x14ac:dyDescent="0.3">
      <c r="B44" s="224" t="s">
        <v>641</v>
      </c>
      <c r="C44" s="232">
        <v>0.64583333333333337</v>
      </c>
      <c r="D44" s="232">
        <v>0.6875</v>
      </c>
      <c r="E44" s="231">
        <f t="shared" si="4"/>
        <v>4.166666666666663E-2</v>
      </c>
      <c r="F44" s="192" t="s">
        <v>644</v>
      </c>
    </row>
    <row r="45" spans="2:7" ht="24.6" x14ac:dyDescent="0.3">
      <c r="B45" s="224" t="s">
        <v>640</v>
      </c>
      <c r="C45" s="232">
        <v>0.65277777777777779</v>
      </c>
      <c r="D45" s="232">
        <v>0.6875</v>
      </c>
      <c r="E45" s="231">
        <f t="shared" ref="E45" si="6">D45-C45</f>
        <v>3.472222222222221E-2</v>
      </c>
      <c r="F45" s="228" t="s">
        <v>645</v>
      </c>
    </row>
    <row r="46" spans="2:7" x14ac:dyDescent="0.3">
      <c r="B46" s="224" t="s">
        <v>646</v>
      </c>
      <c r="C46" s="232">
        <v>0.61111111111111116</v>
      </c>
      <c r="D46" s="232">
        <v>0.65277777777777779</v>
      </c>
      <c r="E46" s="231">
        <f t="shared" ref="E46" si="7">D46-C46</f>
        <v>4.166666666666663E-2</v>
      </c>
      <c r="F46" s="192" t="s">
        <v>644</v>
      </c>
    </row>
    <row r="47" spans="2:7" x14ac:dyDescent="0.3">
      <c r="B47" s="224" t="s">
        <v>657</v>
      </c>
      <c r="C47" s="232">
        <v>0.44444444444444442</v>
      </c>
      <c r="D47" s="232">
        <v>0.64583333333333337</v>
      </c>
      <c r="E47" s="231">
        <f t="shared" ref="E47" si="8">D47-C47</f>
        <v>0.20138888888888895</v>
      </c>
      <c r="F47" s="192" t="s">
        <v>638</v>
      </c>
    </row>
    <row r="48" spans="2:7" x14ac:dyDescent="0.3">
      <c r="B48" s="224" t="s">
        <v>655</v>
      </c>
      <c r="C48" s="232"/>
      <c r="D48" s="232"/>
      <c r="E48" s="231"/>
      <c r="F48" s="192" t="s">
        <v>656</v>
      </c>
    </row>
    <row r="51" spans="4:5" x14ac:dyDescent="0.3">
      <c r="E51" s="236">
        <f>SUM(E3:E46)</f>
        <v>3.6319444444444433</v>
      </c>
    </row>
    <row r="52" spans="4:5" x14ac:dyDescent="0.3">
      <c r="D52" s="237">
        <f>E51*6</f>
        <v>21.791666666666661</v>
      </c>
    </row>
    <row r="53" spans="4:5" x14ac:dyDescent="0.3">
      <c r="E53" s="235">
        <f>E51/48</f>
        <v>7.5665509259259231E-2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3129-19A8-4D60-861E-E7D847056C65}">
  <sheetPr>
    <tabColor rgb="FF00FF00"/>
    <pageSetUpPr fitToPage="1"/>
  </sheetPr>
  <dimension ref="A1:AB60"/>
  <sheetViews>
    <sheetView showGridLines="0" topLeftCell="A4" zoomScale="85" zoomScaleNormal="85" zoomScaleSheetLayoutView="85" workbookViewId="0">
      <selection activeCell="D32" sqref="D32"/>
    </sheetView>
  </sheetViews>
  <sheetFormatPr baseColWidth="10" defaultColWidth="9.109375" defaultRowHeight="14.4" x14ac:dyDescent="0.3"/>
  <cols>
    <col min="1" max="1" width="6.33203125" style="38" customWidth="1"/>
    <col min="2" max="2" width="8.5546875" style="38" customWidth="1"/>
    <col min="3" max="3" width="23.5546875" style="38" bestFit="1" customWidth="1"/>
    <col min="4" max="4" width="10.6640625" style="41" customWidth="1"/>
    <col min="5" max="5" width="9.77734375" style="41" customWidth="1"/>
    <col min="6" max="6" width="4.77734375" style="41" customWidth="1"/>
    <col min="7" max="7" width="8.21875" style="41" customWidth="1"/>
    <col min="8" max="8" width="11.88671875" style="41" hidden="1" customWidth="1"/>
    <col min="9" max="9" width="10.6640625" style="41" hidden="1" customWidth="1"/>
    <col min="10" max="10" width="15.44140625" style="38" hidden="1" customWidth="1"/>
    <col min="11" max="11" width="10.33203125" style="41" hidden="1" customWidth="1"/>
    <col min="12" max="12" width="8.109375" style="41" hidden="1" customWidth="1"/>
    <col min="13" max="13" width="9.33203125" style="41" hidden="1" customWidth="1"/>
    <col min="14" max="14" width="8.88671875" style="41" hidden="1" customWidth="1"/>
    <col min="15" max="15" width="13" style="41" hidden="1" customWidth="1"/>
    <col min="16" max="16" width="9.5546875" style="38" hidden="1" customWidth="1"/>
    <col min="17" max="17" width="10.5546875" style="38" hidden="1" customWidth="1"/>
    <col min="18" max="18" width="10.88671875" style="65" customWidth="1"/>
    <col min="19" max="19" width="8.44140625" style="65" customWidth="1"/>
    <col min="20" max="22" width="14.6640625" style="17" customWidth="1"/>
    <col min="23" max="24" width="12.6640625" style="38" customWidth="1"/>
    <col min="25" max="25" width="12" style="38" bestFit="1" customWidth="1"/>
    <col min="26" max="26" width="13.109375" style="38" customWidth="1"/>
    <col min="27" max="27" width="11" style="38" bestFit="1" customWidth="1"/>
    <col min="28" max="28" width="20.44140625" style="38" customWidth="1"/>
    <col min="29" max="29" width="3.33203125" style="38" customWidth="1"/>
    <col min="30" max="30" width="4.6640625" style="38" customWidth="1"/>
    <col min="31" max="31" width="2.5546875" style="38" customWidth="1"/>
    <col min="32" max="32" width="4.88671875" style="38" customWidth="1"/>
    <col min="33" max="33" width="4.44140625" style="38" customWidth="1"/>
    <col min="34" max="34" width="4.33203125" style="38" customWidth="1"/>
    <col min="35" max="35" width="6" style="38" customWidth="1"/>
    <col min="36" max="36" width="4" style="38" customWidth="1"/>
    <col min="37" max="37" width="8.6640625" style="38" customWidth="1"/>
    <col min="38" max="38" width="0.6640625" style="38" customWidth="1"/>
    <col min="39" max="39" width="3.88671875" style="38" customWidth="1"/>
    <col min="40" max="40" width="2.44140625" style="38" customWidth="1"/>
    <col min="41" max="41" width="3.33203125" style="38" customWidth="1"/>
    <col min="42" max="42" width="2" style="38" customWidth="1"/>
    <col min="43" max="43" width="2.6640625" style="38" customWidth="1"/>
    <col min="44" max="44" width="0.88671875" style="38" customWidth="1"/>
    <col min="45" max="45" width="1.109375" style="38" customWidth="1"/>
    <col min="46" max="46" width="1.44140625" style="38" customWidth="1"/>
    <col min="47" max="47" width="1.109375" style="38" customWidth="1"/>
    <col min="48" max="49" width="1.44140625" style="38" customWidth="1"/>
    <col min="50" max="50" width="10.33203125" style="38" customWidth="1"/>
    <col min="51" max="51" width="2.6640625" style="38" customWidth="1"/>
    <col min="52" max="52" width="3.44140625" style="38" customWidth="1"/>
    <col min="53" max="53" width="4.33203125" style="38" customWidth="1"/>
    <col min="54" max="54" width="2.44140625" style="38" customWidth="1"/>
    <col min="55" max="55" width="4.6640625" style="38" customWidth="1"/>
    <col min="56" max="56" width="5.33203125" style="38" customWidth="1"/>
    <col min="57" max="57" width="3.5546875" style="38" customWidth="1"/>
    <col min="58" max="58" width="3.33203125" style="38" customWidth="1"/>
    <col min="59" max="59" width="4.6640625" style="38" customWidth="1"/>
    <col min="60" max="60" width="2.5546875" style="38" customWidth="1"/>
    <col min="61" max="61" width="4.88671875" style="38" customWidth="1"/>
    <col min="62" max="62" width="4.44140625" style="38" customWidth="1"/>
    <col min="63" max="63" width="4.33203125" style="38" customWidth="1"/>
    <col min="64" max="64" width="6" style="38" customWidth="1"/>
    <col min="65" max="65" width="4" style="38" customWidth="1"/>
    <col min="66" max="66" width="8.6640625" style="38" customWidth="1"/>
    <col min="67" max="67" width="0.6640625" style="38" customWidth="1"/>
    <col min="68" max="68" width="3.88671875" style="38" customWidth="1"/>
    <col min="69" max="69" width="2.44140625" style="38" customWidth="1"/>
    <col min="70" max="70" width="3.33203125" style="38" customWidth="1"/>
    <col min="71" max="71" width="2" style="38" customWidth="1"/>
    <col min="72" max="72" width="2.6640625" style="38" customWidth="1"/>
    <col min="73" max="73" width="0.88671875" style="38" customWidth="1"/>
    <col min="74" max="74" width="1.109375" style="38" customWidth="1"/>
    <col min="75" max="75" width="1.44140625" style="38" customWidth="1"/>
    <col min="76" max="76" width="1.109375" style="38" customWidth="1"/>
    <col min="77" max="78" width="1.44140625" style="38" customWidth="1"/>
    <col min="79" max="16384" width="9.109375" style="38"/>
  </cols>
  <sheetData>
    <row r="1" spans="1:28" ht="13.5" customHeight="1" x14ac:dyDescent="0.3">
      <c r="C1" s="39"/>
      <c r="D1" s="40"/>
      <c r="E1" s="40"/>
      <c r="F1" s="40"/>
      <c r="G1" s="40"/>
      <c r="H1" s="40"/>
      <c r="I1" s="40"/>
      <c r="J1" s="39"/>
      <c r="K1" s="40"/>
      <c r="L1" s="40"/>
      <c r="Q1" s="39"/>
    </row>
    <row r="2" spans="1:28" ht="13.5" customHeight="1" x14ac:dyDescent="0.25">
      <c r="D2" s="280"/>
      <c r="E2" s="280"/>
      <c r="F2" s="280"/>
      <c r="G2" s="280"/>
      <c r="H2" s="280"/>
      <c r="I2" s="280"/>
      <c r="J2" s="42"/>
      <c r="L2" s="43"/>
      <c r="M2" s="279"/>
      <c r="N2" s="281"/>
      <c r="O2" s="274"/>
      <c r="P2" s="274"/>
      <c r="T2" s="74"/>
      <c r="U2" s="199"/>
      <c r="V2" s="199"/>
    </row>
    <row r="3" spans="1:28" ht="13.5" customHeight="1" x14ac:dyDescent="0.25">
      <c r="D3" s="45"/>
      <c r="E3" s="44"/>
      <c r="F3" s="46"/>
      <c r="G3" s="44"/>
      <c r="H3" s="47"/>
      <c r="I3" s="44"/>
      <c r="J3" s="48"/>
      <c r="K3" s="44"/>
      <c r="L3" s="43"/>
      <c r="M3" s="278"/>
      <c r="N3" s="278"/>
      <c r="O3" s="274"/>
      <c r="P3" s="274"/>
      <c r="Q3" s="49"/>
      <c r="T3" s="80"/>
      <c r="U3" s="168"/>
      <c r="V3" s="168"/>
    </row>
    <row r="4" spans="1:28" ht="13.5" customHeight="1" x14ac:dyDescent="0.25">
      <c r="D4" s="50"/>
      <c r="E4" s="44"/>
      <c r="F4" s="51"/>
      <c r="G4" s="44"/>
      <c r="H4" s="47"/>
      <c r="I4" s="44"/>
      <c r="J4" s="51"/>
      <c r="K4" s="44"/>
      <c r="L4" s="43"/>
      <c r="M4" s="278"/>
      <c r="N4" s="278"/>
      <c r="O4" s="274"/>
      <c r="P4" s="274"/>
      <c r="Q4" s="49"/>
      <c r="T4" s="80"/>
      <c r="U4" s="168"/>
      <c r="V4" s="168"/>
    </row>
    <row r="5" spans="1:28" ht="13.5" customHeight="1" x14ac:dyDescent="0.25">
      <c r="D5" s="43"/>
      <c r="E5" s="44"/>
      <c r="F5" s="47"/>
      <c r="G5" s="47"/>
      <c r="H5" s="47"/>
      <c r="I5" s="44"/>
      <c r="J5" s="47"/>
      <c r="K5" s="47"/>
      <c r="L5" s="43"/>
      <c r="M5" s="278"/>
      <c r="N5" s="278"/>
      <c r="O5" s="274"/>
      <c r="P5" s="274"/>
      <c r="Q5" s="49"/>
      <c r="T5" s="80"/>
      <c r="U5" s="168"/>
      <c r="V5" s="168"/>
    </row>
    <row r="6" spans="1:28" ht="13.2" customHeight="1" x14ac:dyDescent="0.25">
      <c r="D6" s="52"/>
      <c r="E6" s="44"/>
      <c r="F6" s="44"/>
      <c r="G6" s="44"/>
      <c r="H6" s="44"/>
      <c r="I6" s="44"/>
      <c r="J6" s="44"/>
      <c r="K6" s="44"/>
      <c r="L6" s="43"/>
      <c r="M6" s="279" t="s">
        <v>16</v>
      </c>
      <c r="N6" s="279"/>
      <c r="O6" s="274"/>
      <c r="P6" s="274"/>
      <c r="Q6" s="53"/>
      <c r="R6" s="49"/>
      <c r="S6" s="67"/>
      <c r="T6" s="80"/>
      <c r="U6" s="168"/>
      <c r="V6" s="168"/>
    </row>
    <row r="7" spans="1:28" ht="4.2" customHeight="1" x14ac:dyDescent="0.35">
      <c r="D7" s="54"/>
      <c r="E7" s="54"/>
      <c r="F7" s="54"/>
      <c r="G7" s="54"/>
      <c r="H7" s="54"/>
      <c r="I7" s="54"/>
      <c r="J7" s="54"/>
      <c r="K7" s="54"/>
      <c r="L7" s="243"/>
      <c r="M7" s="273"/>
      <c r="N7" s="273"/>
      <c r="O7" s="274"/>
      <c r="P7" s="274"/>
      <c r="Q7" s="41"/>
      <c r="R7" s="66"/>
      <c r="S7" s="66"/>
      <c r="T7" s="80"/>
      <c r="U7" s="168"/>
      <c r="V7" s="168"/>
    </row>
    <row r="8" spans="1:28" ht="40.049999999999997" customHeight="1" x14ac:dyDescent="0.4">
      <c r="A8" s="275" t="s">
        <v>666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7" t="s">
        <v>664</v>
      </c>
      <c r="U8" s="277"/>
      <c r="V8" s="277"/>
      <c r="W8" s="277"/>
      <c r="X8" s="277"/>
      <c r="Y8" s="277"/>
      <c r="Z8" s="277"/>
      <c r="AA8" s="277"/>
      <c r="AB8" s="277"/>
    </row>
    <row r="9" spans="1:28" s="57" customFormat="1" ht="45" customHeight="1" x14ac:dyDescent="0.3">
      <c r="A9" s="55" t="s">
        <v>72</v>
      </c>
      <c r="B9" s="56" t="s">
        <v>73</v>
      </c>
      <c r="C9" s="56" t="s">
        <v>74</v>
      </c>
      <c r="D9" s="56" t="s">
        <v>75</v>
      </c>
      <c r="E9" s="56" t="s">
        <v>76</v>
      </c>
      <c r="F9" s="55" t="s">
        <v>77</v>
      </c>
      <c r="G9" s="55" t="s">
        <v>78</v>
      </c>
      <c r="H9" s="56" t="s">
        <v>79</v>
      </c>
      <c r="I9" s="56" t="s">
        <v>80</v>
      </c>
      <c r="J9" s="56" t="s">
        <v>81</v>
      </c>
      <c r="K9" s="56" t="s">
        <v>82</v>
      </c>
      <c r="L9" s="56" t="s">
        <v>83</v>
      </c>
      <c r="M9" s="56" t="s">
        <v>84</v>
      </c>
      <c r="N9" s="56" t="s">
        <v>85</v>
      </c>
      <c r="O9" s="56" t="s">
        <v>86</v>
      </c>
      <c r="P9" s="56" t="s">
        <v>87</v>
      </c>
      <c r="Q9" s="56" t="s">
        <v>88</v>
      </c>
      <c r="R9" s="56" t="s">
        <v>660</v>
      </c>
      <c r="S9" s="56" t="s">
        <v>225</v>
      </c>
      <c r="T9" s="56" t="s">
        <v>224</v>
      </c>
      <c r="U9" s="56" t="s">
        <v>663</v>
      </c>
      <c r="V9" s="56" t="s">
        <v>702</v>
      </c>
      <c r="W9" s="56" t="s">
        <v>512</v>
      </c>
      <c r="X9" s="56" t="s">
        <v>513</v>
      </c>
      <c r="Y9" s="56" t="s">
        <v>703</v>
      </c>
      <c r="Z9" s="56" t="s">
        <v>704</v>
      </c>
      <c r="AA9" s="56" t="s">
        <v>539</v>
      </c>
      <c r="AB9" s="56" t="s">
        <v>688</v>
      </c>
    </row>
    <row r="10" spans="1:28" s="57" customFormat="1" ht="19.95" customHeight="1" x14ac:dyDescent="0.3">
      <c r="A10" s="58">
        <v>0.1</v>
      </c>
      <c r="B10" s="59" t="s">
        <v>89</v>
      </c>
      <c r="C10" s="59" t="s">
        <v>90</v>
      </c>
      <c r="D10" s="61" t="s">
        <v>92</v>
      </c>
      <c r="E10" s="61">
        <v>440</v>
      </c>
      <c r="F10" s="62">
        <v>5</v>
      </c>
      <c r="G10" s="62">
        <v>3</v>
      </c>
      <c r="H10" s="61">
        <v>7.6</v>
      </c>
      <c r="I10" s="61">
        <f t="shared" ref="I10:I20" si="0">(H10*1.25)</f>
        <v>9.5</v>
      </c>
      <c r="J10" s="61">
        <v>0.82</v>
      </c>
      <c r="K10" s="61">
        <v>1</v>
      </c>
      <c r="L10" s="61">
        <v>1</v>
      </c>
      <c r="M10" s="61" t="s">
        <v>16</v>
      </c>
      <c r="N10" s="63" t="s">
        <v>16</v>
      </c>
      <c r="O10" s="61" t="s">
        <v>16</v>
      </c>
      <c r="P10" s="61" t="s">
        <v>16</v>
      </c>
      <c r="Q10" s="61" t="s">
        <v>16</v>
      </c>
      <c r="R10" s="115" t="s">
        <v>670</v>
      </c>
      <c r="S10" s="115" t="s">
        <v>114</v>
      </c>
      <c r="T10" s="250" t="b">
        <v>0</v>
      </c>
      <c r="U10" s="251"/>
      <c r="V10" s="250" t="b">
        <v>0</v>
      </c>
      <c r="W10" s="250" t="b">
        <v>0</v>
      </c>
      <c r="X10" s="250" t="b">
        <v>0</v>
      </c>
      <c r="Y10" s="250" t="b">
        <v>0</v>
      </c>
      <c r="Z10" s="250" t="b">
        <v>0</v>
      </c>
      <c r="AA10" s="250" t="b">
        <v>0</v>
      </c>
      <c r="AB10" s="252"/>
    </row>
    <row r="11" spans="1:28" s="57" customFormat="1" ht="19.95" customHeight="1" x14ac:dyDescent="0.3">
      <c r="A11" s="58">
        <v>0.2</v>
      </c>
      <c r="B11" s="60" t="s">
        <v>93</v>
      </c>
      <c r="C11" s="59" t="s">
        <v>94</v>
      </c>
      <c r="D11" s="61" t="s">
        <v>92</v>
      </c>
      <c r="E11" s="61">
        <v>440</v>
      </c>
      <c r="F11" s="62">
        <v>7.5</v>
      </c>
      <c r="G11" s="62">
        <v>3</v>
      </c>
      <c r="H11" s="61">
        <v>8.6</v>
      </c>
      <c r="I11" s="61">
        <f t="shared" si="0"/>
        <v>10.75</v>
      </c>
      <c r="J11" s="61">
        <v>0.82</v>
      </c>
      <c r="K11" s="61">
        <v>1</v>
      </c>
      <c r="L11" s="61">
        <v>1</v>
      </c>
      <c r="M11" s="61" t="s">
        <v>16</v>
      </c>
      <c r="N11" s="63" t="s">
        <v>16</v>
      </c>
      <c r="O11" s="61" t="s">
        <v>16</v>
      </c>
      <c r="P11" s="61" t="s">
        <v>16</v>
      </c>
      <c r="Q11" s="61" t="s">
        <v>16</v>
      </c>
      <c r="R11" s="115" t="s">
        <v>670</v>
      </c>
      <c r="S11" s="115" t="s">
        <v>114</v>
      </c>
      <c r="T11" s="250" t="b">
        <v>0</v>
      </c>
      <c r="U11" s="251"/>
      <c r="V11" s="250" t="b">
        <v>0</v>
      </c>
      <c r="W11" s="250" t="b">
        <v>0</v>
      </c>
      <c r="X11" s="250" t="b">
        <v>0</v>
      </c>
      <c r="Y11" s="250" t="b">
        <v>0</v>
      </c>
      <c r="Z11" s="250" t="b">
        <v>0</v>
      </c>
      <c r="AA11" s="250" t="b">
        <v>0</v>
      </c>
      <c r="AB11" s="252"/>
    </row>
    <row r="12" spans="1:28" s="57" customFormat="1" ht="19.95" customHeight="1" x14ac:dyDescent="0.3">
      <c r="A12" s="58">
        <v>0.3</v>
      </c>
      <c r="B12" s="59" t="s">
        <v>95</v>
      </c>
      <c r="C12" s="59" t="s">
        <v>96</v>
      </c>
      <c r="D12" s="61" t="s">
        <v>92</v>
      </c>
      <c r="E12" s="61">
        <v>440</v>
      </c>
      <c r="F12" s="61">
        <v>15</v>
      </c>
      <c r="G12" s="61">
        <v>3</v>
      </c>
      <c r="H12" s="61">
        <v>21</v>
      </c>
      <c r="I12" s="61">
        <f t="shared" si="0"/>
        <v>26.25</v>
      </c>
      <c r="J12" s="61">
        <v>0.82</v>
      </c>
      <c r="K12" s="61">
        <v>1</v>
      </c>
      <c r="L12" s="61">
        <v>1</v>
      </c>
      <c r="M12" s="61" t="s">
        <v>16</v>
      </c>
      <c r="N12" s="63" t="s">
        <v>16</v>
      </c>
      <c r="O12" s="61" t="s">
        <v>16</v>
      </c>
      <c r="P12" s="61" t="s">
        <v>16</v>
      </c>
      <c r="Q12" s="61" t="s">
        <v>16</v>
      </c>
      <c r="R12" s="115" t="s">
        <v>671</v>
      </c>
      <c r="S12" s="115" t="s">
        <v>226</v>
      </c>
      <c r="T12" s="250" t="b">
        <v>0</v>
      </c>
      <c r="U12" s="251"/>
      <c r="V12" s="250" t="b">
        <v>0</v>
      </c>
      <c r="W12" s="250" t="b">
        <v>0</v>
      </c>
      <c r="X12" s="250" t="b">
        <v>0</v>
      </c>
      <c r="Y12" s="250" t="b">
        <v>0</v>
      </c>
      <c r="Z12" s="250" t="b">
        <v>0</v>
      </c>
      <c r="AA12" s="250" t="b">
        <v>0</v>
      </c>
      <c r="AB12" s="252"/>
    </row>
    <row r="13" spans="1:28" s="57" customFormat="1" ht="19.95" customHeight="1" x14ac:dyDescent="0.3">
      <c r="A13" s="58">
        <v>0.4</v>
      </c>
      <c r="B13" s="59" t="s">
        <v>97</v>
      </c>
      <c r="C13" s="59" t="s">
        <v>98</v>
      </c>
      <c r="D13" s="61" t="s">
        <v>99</v>
      </c>
      <c r="E13" s="61">
        <v>440</v>
      </c>
      <c r="F13" s="62">
        <v>2</v>
      </c>
      <c r="G13" s="62">
        <v>3</v>
      </c>
      <c r="H13" s="61">
        <v>3.1</v>
      </c>
      <c r="I13" s="61">
        <f t="shared" si="0"/>
        <v>3.875</v>
      </c>
      <c r="J13" s="61">
        <v>0.82</v>
      </c>
      <c r="K13" s="61">
        <v>1</v>
      </c>
      <c r="L13" s="61">
        <v>1</v>
      </c>
      <c r="M13" s="61" t="s">
        <v>16</v>
      </c>
      <c r="N13" s="61" t="s">
        <v>16</v>
      </c>
      <c r="O13" s="61" t="s">
        <v>16</v>
      </c>
      <c r="P13" s="61" t="s">
        <v>16</v>
      </c>
      <c r="Q13" s="61" t="s">
        <v>16</v>
      </c>
      <c r="R13" s="115" t="s">
        <v>672</v>
      </c>
      <c r="S13" s="115" t="s">
        <v>114</v>
      </c>
      <c r="T13" s="250" t="b">
        <v>0</v>
      </c>
      <c r="U13" s="251"/>
      <c r="V13" s="250" t="b">
        <v>0</v>
      </c>
      <c r="W13" s="250" t="b">
        <v>0</v>
      </c>
      <c r="X13" s="250" t="b">
        <v>0</v>
      </c>
      <c r="Y13" s="250" t="b">
        <v>0</v>
      </c>
      <c r="Z13" s="250" t="b">
        <v>0</v>
      </c>
      <c r="AA13" s="250" t="b">
        <v>0</v>
      </c>
      <c r="AB13" s="252"/>
    </row>
    <row r="14" spans="1:28" s="57" customFormat="1" ht="19.95" customHeight="1" x14ac:dyDescent="0.3">
      <c r="A14" s="58">
        <v>0.5</v>
      </c>
      <c r="B14" s="59" t="s">
        <v>100</v>
      </c>
      <c r="C14" s="59" t="s">
        <v>98</v>
      </c>
      <c r="D14" s="61" t="s">
        <v>99</v>
      </c>
      <c r="E14" s="61">
        <v>440</v>
      </c>
      <c r="F14" s="62">
        <v>2</v>
      </c>
      <c r="G14" s="62">
        <v>3</v>
      </c>
      <c r="H14" s="61">
        <v>3.1</v>
      </c>
      <c r="I14" s="61">
        <f t="shared" si="0"/>
        <v>3.875</v>
      </c>
      <c r="J14" s="61">
        <v>0.82</v>
      </c>
      <c r="K14" s="61">
        <v>1</v>
      </c>
      <c r="L14" s="61">
        <v>1</v>
      </c>
      <c r="M14" s="61" t="s">
        <v>16</v>
      </c>
      <c r="N14" s="61" t="s">
        <v>16</v>
      </c>
      <c r="O14" s="61" t="s">
        <v>16</v>
      </c>
      <c r="P14" s="61" t="s">
        <v>16</v>
      </c>
      <c r="Q14" s="61" t="s">
        <v>16</v>
      </c>
      <c r="R14" s="115" t="s">
        <v>671</v>
      </c>
      <c r="S14" s="115" t="s">
        <v>114</v>
      </c>
      <c r="T14" s="250" t="b">
        <v>0</v>
      </c>
      <c r="U14" s="251"/>
      <c r="V14" s="250" t="b">
        <v>0</v>
      </c>
      <c r="W14" s="250" t="b">
        <v>0</v>
      </c>
      <c r="X14" s="250" t="b">
        <v>0</v>
      </c>
      <c r="Y14" s="250" t="b">
        <v>0</v>
      </c>
      <c r="Z14" s="250" t="b">
        <v>0</v>
      </c>
      <c r="AA14" s="250" t="b">
        <v>0</v>
      </c>
      <c r="AB14" s="252"/>
    </row>
    <row r="15" spans="1:28" s="57" customFormat="1" ht="19.95" customHeight="1" x14ac:dyDescent="0.3">
      <c r="A15" s="58">
        <v>0.6</v>
      </c>
      <c r="B15" s="60" t="s">
        <v>101</v>
      </c>
      <c r="C15" s="59" t="s">
        <v>102</v>
      </c>
      <c r="D15" s="61" t="s">
        <v>99</v>
      </c>
      <c r="E15" s="61">
        <v>440</v>
      </c>
      <c r="F15" s="62">
        <v>5</v>
      </c>
      <c r="G15" s="62">
        <v>3</v>
      </c>
      <c r="H15" s="61">
        <v>7.6</v>
      </c>
      <c r="I15" s="61">
        <f t="shared" si="0"/>
        <v>9.5</v>
      </c>
      <c r="J15" s="61">
        <v>0.82</v>
      </c>
      <c r="K15" s="61">
        <v>1</v>
      </c>
      <c r="L15" s="61">
        <v>1</v>
      </c>
      <c r="M15" s="61" t="s">
        <v>16</v>
      </c>
      <c r="N15" s="61" t="s">
        <v>16</v>
      </c>
      <c r="O15" s="61" t="s">
        <v>16</v>
      </c>
      <c r="P15" s="61" t="s">
        <v>16</v>
      </c>
      <c r="Q15" s="61" t="s">
        <v>16</v>
      </c>
      <c r="R15" s="115" t="s">
        <v>673</v>
      </c>
      <c r="S15" s="115" t="s">
        <v>114</v>
      </c>
      <c r="T15" s="250" t="b">
        <v>0</v>
      </c>
      <c r="U15" s="251"/>
      <c r="V15" s="250" t="b">
        <v>0</v>
      </c>
      <c r="W15" s="250" t="b">
        <v>0</v>
      </c>
      <c r="X15" s="250" t="b">
        <v>0</v>
      </c>
      <c r="Y15" s="250" t="b">
        <v>0</v>
      </c>
      <c r="Z15" s="250" t="b">
        <v>0</v>
      </c>
      <c r="AA15" s="250" t="b">
        <v>0</v>
      </c>
      <c r="AB15" s="252"/>
    </row>
    <row r="16" spans="1:28" s="57" customFormat="1" ht="19.95" customHeight="1" x14ac:dyDescent="0.3">
      <c r="A16" s="58">
        <v>0.7</v>
      </c>
      <c r="B16" s="60" t="s">
        <v>103</v>
      </c>
      <c r="C16" s="59" t="s">
        <v>104</v>
      </c>
      <c r="D16" s="61" t="s">
        <v>99</v>
      </c>
      <c r="E16" s="61">
        <v>440</v>
      </c>
      <c r="F16" s="61">
        <v>1.5</v>
      </c>
      <c r="G16" s="62">
        <v>3</v>
      </c>
      <c r="H16" s="61">
        <v>3</v>
      </c>
      <c r="I16" s="61">
        <f>(H16*1.25)</f>
        <v>3.75</v>
      </c>
      <c r="J16" s="61">
        <v>0.82</v>
      </c>
      <c r="K16" s="61">
        <v>1</v>
      </c>
      <c r="L16" s="61">
        <v>1</v>
      </c>
      <c r="M16" s="61" t="s">
        <v>16</v>
      </c>
      <c r="N16" s="61" t="s">
        <v>16</v>
      </c>
      <c r="O16" s="61" t="s">
        <v>16</v>
      </c>
      <c r="P16" s="61" t="s">
        <v>16</v>
      </c>
      <c r="Q16" s="61" t="s">
        <v>16</v>
      </c>
      <c r="R16" s="115" t="s">
        <v>674</v>
      </c>
      <c r="S16" s="115" t="s">
        <v>114</v>
      </c>
      <c r="T16" s="250" t="b">
        <v>0</v>
      </c>
      <c r="U16" s="251"/>
      <c r="V16" s="250" t="b">
        <v>0</v>
      </c>
      <c r="W16" s="250" t="b">
        <v>0</v>
      </c>
      <c r="X16" s="250" t="b">
        <v>0</v>
      </c>
      <c r="Y16" s="250" t="b">
        <v>0</v>
      </c>
      <c r="Z16" s="250" t="b">
        <v>0</v>
      </c>
      <c r="AA16" s="250" t="b">
        <v>0</v>
      </c>
      <c r="AB16" s="252"/>
    </row>
    <row r="17" spans="1:28" s="57" customFormat="1" ht="19.95" customHeight="1" x14ac:dyDescent="0.3">
      <c r="A17" s="58">
        <v>0.8</v>
      </c>
      <c r="B17" s="201" t="s">
        <v>105</v>
      </c>
      <c r="C17" s="59" t="s">
        <v>106</v>
      </c>
      <c r="D17" s="61" t="s">
        <v>99</v>
      </c>
      <c r="E17" s="61">
        <v>440</v>
      </c>
      <c r="F17" s="61">
        <v>0.5</v>
      </c>
      <c r="G17" s="62">
        <v>3</v>
      </c>
      <c r="H17" s="61">
        <v>1.1000000000000001</v>
      </c>
      <c r="I17" s="61">
        <f t="shared" si="0"/>
        <v>1.375</v>
      </c>
      <c r="J17" s="61">
        <v>0.82</v>
      </c>
      <c r="K17" s="61">
        <v>1</v>
      </c>
      <c r="L17" s="61">
        <v>1</v>
      </c>
      <c r="M17" s="61" t="s">
        <v>16</v>
      </c>
      <c r="N17" s="61" t="s">
        <v>16</v>
      </c>
      <c r="O17" s="61" t="s">
        <v>16</v>
      </c>
      <c r="P17" s="61" t="s">
        <v>16</v>
      </c>
      <c r="Q17" s="61" t="s">
        <v>16</v>
      </c>
      <c r="R17" s="115">
        <v>1</v>
      </c>
      <c r="S17" s="115" t="s">
        <v>114</v>
      </c>
      <c r="T17" s="250" t="b">
        <v>0</v>
      </c>
      <c r="U17" s="251"/>
      <c r="V17" s="250" t="b">
        <v>0</v>
      </c>
      <c r="W17" s="250" t="b">
        <v>0</v>
      </c>
      <c r="X17" s="250" t="b">
        <v>0</v>
      </c>
      <c r="Y17" s="250" t="b">
        <v>0</v>
      </c>
      <c r="Z17" s="250" t="b">
        <v>0</v>
      </c>
      <c r="AA17" s="250" t="b">
        <v>0</v>
      </c>
      <c r="AB17" s="252"/>
    </row>
    <row r="18" spans="1:28" s="57" customFormat="1" ht="19.95" customHeight="1" x14ac:dyDescent="0.3">
      <c r="A18" s="58">
        <v>0.9</v>
      </c>
      <c r="B18" s="201" t="s">
        <v>107</v>
      </c>
      <c r="C18" s="59" t="s">
        <v>108</v>
      </c>
      <c r="D18" s="61" t="s">
        <v>92</v>
      </c>
      <c r="E18" s="61">
        <v>440</v>
      </c>
      <c r="F18" s="61">
        <v>5</v>
      </c>
      <c r="G18" s="62">
        <v>3</v>
      </c>
      <c r="H18" s="61">
        <v>7.6</v>
      </c>
      <c r="I18" s="61">
        <f t="shared" si="0"/>
        <v>9.5</v>
      </c>
      <c r="J18" s="61">
        <v>0.82</v>
      </c>
      <c r="K18" s="61">
        <v>1</v>
      </c>
      <c r="L18" s="61">
        <v>1</v>
      </c>
      <c r="M18" s="61" t="s">
        <v>16</v>
      </c>
      <c r="N18" s="61" t="s">
        <v>16</v>
      </c>
      <c r="O18" s="61" t="s">
        <v>16</v>
      </c>
      <c r="P18" s="61" t="s">
        <v>16</v>
      </c>
      <c r="Q18" s="61" t="s">
        <v>16</v>
      </c>
      <c r="R18" s="115">
        <v>0</v>
      </c>
      <c r="S18" s="115" t="s">
        <v>114</v>
      </c>
      <c r="T18" s="250" t="b">
        <v>0</v>
      </c>
      <c r="U18" s="251"/>
      <c r="V18" s="250" t="b">
        <v>0</v>
      </c>
      <c r="W18" s="250" t="b">
        <v>0</v>
      </c>
      <c r="X18" s="250" t="b">
        <v>0</v>
      </c>
      <c r="Y18" s="250" t="b">
        <v>0</v>
      </c>
      <c r="Z18" s="250" t="b">
        <v>0</v>
      </c>
      <c r="AA18" s="250" t="b">
        <v>0</v>
      </c>
      <c r="AB18" s="252"/>
    </row>
    <row r="19" spans="1:28" s="57" customFormat="1" ht="19.95" customHeight="1" x14ac:dyDescent="0.3">
      <c r="A19" s="58">
        <v>1</v>
      </c>
      <c r="B19" s="60" t="s">
        <v>109</v>
      </c>
      <c r="C19" s="59" t="s">
        <v>110</v>
      </c>
      <c r="D19" s="61" t="s">
        <v>99</v>
      </c>
      <c r="E19" s="61">
        <v>440</v>
      </c>
      <c r="F19" s="61">
        <v>10</v>
      </c>
      <c r="G19" s="62">
        <v>3</v>
      </c>
      <c r="H19" s="61">
        <v>14</v>
      </c>
      <c r="I19" s="61">
        <f t="shared" si="0"/>
        <v>17.5</v>
      </c>
      <c r="J19" s="61">
        <v>0.82</v>
      </c>
      <c r="K19" s="61">
        <v>1</v>
      </c>
      <c r="L19" s="61">
        <v>1</v>
      </c>
      <c r="M19" s="61" t="s">
        <v>16</v>
      </c>
      <c r="N19" s="61" t="s">
        <v>16</v>
      </c>
      <c r="O19" s="61" t="s">
        <v>16</v>
      </c>
      <c r="P19" s="61" t="s">
        <v>16</v>
      </c>
      <c r="Q19" s="61" t="s">
        <v>16</v>
      </c>
      <c r="R19" s="115">
        <v>1</v>
      </c>
      <c r="S19" s="115" t="s">
        <v>114</v>
      </c>
      <c r="T19" s="250" t="b">
        <v>0</v>
      </c>
      <c r="U19" s="251"/>
      <c r="V19" s="250" t="b">
        <v>0</v>
      </c>
      <c r="W19" s="250" t="b">
        <v>0</v>
      </c>
      <c r="X19" s="250" t="b">
        <v>0</v>
      </c>
      <c r="Y19" s="250" t="b">
        <v>0</v>
      </c>
      <c r="Z19" s="250" t="b">
        <v>0</v>
      </c>
      <c r="AA19" s="250" t="b">
        <v>0</v>
      </c>
      <c r="AB19" s="252"/>
    </row>
    <row r="20" spans="1:28" s="57" customFormat="1" ht="19.95" customHeight="1" x14ac:dyDescent="0.3">
      <c r="A20" s="64">
        <v>1.1000000000000001</v>
      </c>
      <c r="B20" s="59" t="s">
        <v>111</v>
      </c>
      <c r="C20" s="59" t="s">
        <v>112</v>
      </c>
      <c r="D20" s="61" t="s">
        <v>99</v>
      </c>
      <c r="E20" s="61">
        <v>440</v>
      </c>
      <c r="F20" s="61">
        <v>10</v>
      </c>
      <c r="G20" s="61">
        <v>3</v>
      </c>
      <c r="H20" s="61">
        <v>14</v>
      </c>
      <c r="I20" s="61">
        <f t="shared" si="0"/>
        <v>17.5</v>
      </c>
      <c r="J20" s="61">
        <v>0.82</v>
      </c>
      <c r="K20" s="61">
        <v>1</v>
      </c>
      <c r="L20" s="61">
        <v>1</v>
      </c>
      <c r="M20" s="61" t="s">
        <v>16</v>
      </c>
      <c r="N20" s="61" t="s">
        <v>16</v>
      </c>
      <c r="O20" s="61" t="s">
        <v>16</v>
      </c>
      <c r="P20" s="61" t="s">
        <v>16</v>
      </c>
      <c r="Q20" s="61" t="s">
        <v>16</v>
      </c>
      <c r="R20" s="115">
        <v>1</v>
      </c>
      <c r="S20" s="115" t="s">
        <v>114</v>
      </c>
      <c r="T20" s="250" t="b">
        <v>0</v>
      </c>
      <c r="U20" s="251"/>
      <c r="V20" s="250" t="b">
        <v>0</v>
      </c>
      <c r="W20" s="250" t="b">
        <v>0</v>
      </c>
      <c r="X20" s="250" t="b">
        <v>0</v>
      </c>
      <c r="Y20" s="250" t="b">
        <v>0</v>
      </c>
      <c r="Z20" s="250" t="b">
        <v>0</v>
      </c>
      <c r="AA20" s="250" t="b">
        <v>0</v>
      </c>
      <c r="AB20" s="252"/>
    </row>
    <row r="21" spans="1:28" ht="12" customHeight="1" x14ac:dyDescent="0.2">
      <c r="T21" s="38"/>
      <c r="U21" s="38"/>
      <c r="V21" s="38"/>
    </row>
    <row r="22" spans="1:28" ht="12" customHeight="1" x14ac:dyDescent="0.2">
      <c r="D22" s="38"/>
      <c r="E22" s="38"/>
      <c r="F22" s="38"/>
      <c r="G22" s="38"/>
      <c r="H22" s="38"/>
      <c r="I22" s="38"/>
      <c r="T22" s="38"/>
      <c r="U22" s="38"/>
      <c r="V22" s="38"/>
    </row>
    <row r="23" spans="1:28" ht="12" customHeight="1" x14ac:dyDescent="0.2">
      <c r="D23" s="38"/>
      <c r="E23" s="38"/>
      <c r="F23" s="38"/>
      <c r="G23" s="38"/>
      <c r="H23" s="38"/>
      <c r="I23" s="38"/>
      <c r="T23" s="38"/>
      <c r="U23" s="38"/>
      <c r="V23" s="38"/>
    </row>
    <row r="24" spans="1:28" ht="12" customHeight="1" x14ac:dyDescent="0.2">
      <c r="D24" s="38"/>
      <c r="E24" s="38"/>
      <c r="F24" s="38"/>
      <c r="G24" s="38"/>
      <c r="H24" s="38"/>
      <c r="I24" s="38"/>
      <c r="T24" s="38"/>
      <c r="U24" s="38"/>
      <c r="V24" s="38"/>
    </row>
    <row r="25" spans="1:28" ht="10.199999999999999" x14ac:dyDescent="0.2">
      <c r="T25" s="272"/>
      <c r="U25" s="38"/>
      <c r="V25" s="38"/>
    </row>
    <row r="26" spans="1:28" ht="10.199999999999999" x14ac:dyDescent="0.2">
      <c r="T26" s="272"/>
      <c r="U26" s="38"/>
      <c r="V26" s="38"/>
    </row>
    <row r="27" spans="1:28" ht="10.199999999999999" x14ac:dyDescent="0.2">
      <c r="T27" s="272"/>
      <c r="U27" s="38"/>
      <c r="V27" s="38"/>
    </row>
    <row r="28" spans="1:28" ht="10.199999999999999" x14ac:dyDescent="0.2">
      <c r="T28" s="38"/>
      <c r="U28" s="38"/>
      <c r="V28" s="38"/>
    </row>
    <row r="29" spans="1:28" ht="10.199999999999999" x14ac:dyDescent="0.2">
      <c r="T29" s="38"/>
      <c r="U29" s="38"/>
      <c r="V29" s="38"/>
    </row>
    <row r="30" spans="1:28" ht="10.199999999999999" x14ac:dyDescent="0.2">
      <c r="T30" s="38"/>
      <c r="U30" s="38"/>
      <c r="V30" s="38"/>
    </row>
    <row r="31" spans="1:28" ht="10.199999999999999" x14ac:dyDescent="0.2">
      <c r="T31" s="38"/>
      <c r="U31" s="38"/>
      <c r="V31" s="38"/>
    </row>
    <row r="32" spans="1:28" ht="10.199999999999999" x14ac:dyDescent="0.2">
      <c r="T32" s="38"/>
      <c r="U32" s="38"/>
      <c r="V32" s="38"/>
    </row>
    <row r="33" spans="20:22" ht="10.199999999999999" x14ac:dyDescent="0.2">
      <c r="T33" s="38"/>
      <c r="U33" s="38"/>
      <c r="V33" s="38"/>
    </row>
    <row r="34" spans="20:22" ht="10.199999999999999" x14ac:dyDescent="0.2">
      <c r="T34" s="38"/>
      <c r="U34" s="38"/>
      <c r="V34" s="38"/>
    </row>
    <row r="35" spans="20:22" ht="10.199999999999999" x14ac:dyDescent="0.2">
      <c r="T35" s="38"/>
      <c r="U35" s="38"/>
      <c r="V35" s="38"/>
    </row>
    <row r="36" spans="20:22" ht="10.199999999999999" x14ac:dyDescent="0.2">
      <c r="T36" s="38"/>
      <c r="U36" s="38"/>
      <c r="V36" s="38"/>
    </row>
    <row r="37" spans="20:22" ht="10.199999999999999" x14ac:dyDescent="0.2">
      <c r="T37" s="38"/>
      <c r="U37" s="38"/>
      <c r="V37" s="38"/>
    </row>
    <row r="38" spans="20:22" ht="10.199999999999999" x14ac:dyDescent="0.2">
      <c r="T38" s="38"/>
      <c r="U38" s="38"/>
      <c r="V38" s="38"/>
    </row>
    <row r="39" spans="20:22" ht="10.199999999999999" x14ac:dyDescent="0.2">
      <c r="T39" s="38"/>
      <c r="U39" s="38"/>
      <c r="V39" s="38"/>
    </row>
    <row r="40" spans="20:22" ht="10.199999999999999" x14ac:dyDescent="0.2">
      <c r="T40" s="38"/>
      <c r="U40" s="38"/>
      <c r="V40" s="38"/>
    </row>
    <row r="41" spans="20:22" ht="10.199999999999999" x14ac:dyDescent="0.2">
      <c r="T41" s="38"/>
      <c r="U41" s="38"/>
      <c r="V41" s="38"/>
    </row>
    <row r="42" spans="20:22" ht="10.199999999999999" x14ac:dyDescent="0.2">
      <c r="T42" s="38"/>
      <c r="U42" s="38"/>
      <c r="V42" s="38"/>
    </row>
    <row r="43" spans="20:22" ht="10.199999999999999" x14ac:dyDescent="0.2">
      <c r="T43" s="38"/>
      <c r="U43" s="38"/>
      <c r="V43" s="38"/>
    </row>
    <row r="44" spans="20:22" ht="10.199999999999999" x14ac:dyDescent="0.2">
      <c r="T44" s="38"/>
      <c r="U44" s="38"/>
      <c r="V44" s="38"/>
    </row>
    <row r="45" spans="20:22" ht="10.199999999999999" x14ac:dyDescent="0.2">
      <c r="T45" s="38"/>
      <c r="U45" s="38"/>
      <c r="V45" s="38"/>
    </row>
    <row r="46" spans="20:22" ht="10.199999999999999" x14ac:dyDescent="0.2">
      <c r="T46" s="38"/>
      <c r="U46" s="38"/>
      <c r="V46" s="38"/>
    </row>
    <row r="47" spans="20:22" ht="10.199999999999999" x14ac:dyDescent="0.2">
      <c r="T47" s="38"/>
      <c r="U47" s="38"/>
      <c r="V47" s="38"/>
    </row>
    <row r="48" spans="20:22" ht="10.199999999999999" x14ac:dyDescent="0.2">
      <c r="T48" s="38"/>
      <c r="U48" s="38"/>
      <c r="V48" s="38"/>
    </row>
    <row r="49" spans="20:22" ht="10.199999999999999" x14ac:dyDescent="0.2">
      <c r="T49" s="38"/>
      <c r="U49" s="38"/>
      <c r="V49" s="38"/>
    </row>
    <row r="50" spans="20:22" ht="10.199999999999999" x14ac:dyDescent="0.2">
      <c r="T50" s="38"/>
      <c r="U50" s="38"/>
      <c r="V50" s="38"/>
    </row>
    <row r="51" spans="20:22" ht="10.199999999999999" x14ac:dyDescent="0.2">
      <c r="T51" s="38"/>
      <c r="U51" s="38"/>
      <c r="V51" s="38"/>
    </row>
    <row r="52" spans="20:22" ht="10.199999999999999" x14ac:dyDescent="0.2">
      <c r="T52" s="38"/>
      <c r="U52" s="38"/>
      <c r="V52" s="38"/>
    </row>
    <row r="53" spans="20:22" ht="10.199999999999999" x14ac:dyDescent="0.2">
      <c r="T53" s="38"/>
      <c r="U53" s="38"/>
      <c r="V53" s="38"/>
    </row>
    <row r="54" spans="20:22" ht="10.199999999999999" x14ac:dyDescent="0.2">
      <c r="T54" s="38"/>
      <c r="U54" s="38"/>
      <c r="V54" s="38"/>
    </row>
    <row r="55" spans="20:22" ht="10.199999999999999" x14ac:dyDescent="0.2">
      <c r="T55" s="38"/>
      <c r="U55" s="38"/>
      <c r="V55" s="38"/>
    </row>
    <row r="56" spans="20:22" ht="10.199999999999999" x14ac:dyDescent="0.2">
      <c r="T56" s="38"/>
      <c r="U56" s="38"/>
      <c r="V56" s="38"/>
    </row>
    <row r="57" spans="20:22" ht="10.199999999999999" x14ac:dyDescent="0.2">
      <c r="T57" s="38"/>
      <c r="U57" s="38"/>
      <c r="V57" s="38"/>
    </row>
    <row r="58" spans="20:22" ht="10.199999999999999" x14ac:dyDescent="0.2">
      <c r="T58" s="38"/>
      <c r="U58" s="38"/>
      <c r="V58" s="38"/>
    </row>
    <row r="59" spans="20:22" ht="10.199999999999999" x14ac:dyDescent="0.2">
      <c r="T59" s="38"/>
      <c r="U59" s="38"/>
      <c r="V59" s="38"/>
    </row>
    <row r="60" spans="20:22" ht="10.199999999999999" x14ac:dyDescent="0.2">
      <c r="T60" s="38"/>
      <c r="U60" s="38"/>
      <c r="V60" s="38"/>
    </row>
  </sheetData>
  <mergeCells count="15">
    <mergeCell ref="D2:I2"/>
    <mergeCell ref="M2:N2"/>
    <mergeCell ref="O2:P2"/>
    <mergeCell ref="M3:N3"/>
    <mergeCell ref="O3:P3"/>
    <mergeCell ref="M7:N7"/>
    <mergeCell ref="O7:P7"/>
    <mergeCell ref="A8:S8"/>
    <mergeCell ref="T8:AB8"/>
    <mergeCell ref="M4:N4"/>
    <mergeCell ref="O4:P4"/>
    <mergeCell ref="M5:N5"/>
    <mergeCell ref="O5:P5"/>
    <mergeCell ref="M6:N6"/>
    <mergeCell ref="O6:P6"/>
  </mergeCells>
  <phoneticPr fontId="3" type="noConversion"/>
  <conditionalFormatting sqref="T2:V7 T8 T61:V1048576">
    <cfRule type="containsText" dxfId="1" priority="19" operator="containsText" text="CABLEADO">
      <formula>NOT(ISERROR(SEARCH("CABLEADO",T2)))</formula>
    </cfRule>
  </conditionalFormatting>
  <conditionalFormatting sqref="T10:AA20">
    <cfRule type="containsText" dxfId="0" priority="1" operator="containsText" text="CABLEADO">
      <formula>NOT(ISERROR(SEARCH("CABLEADO",T10)))</formula>
    </cfRule>
  </conditionalFormatting>
  <printOptions horizontalCentered="1" gridLinesSet="0"/>
  <pageMargins left="0.39370078740157483" right="0.39370078740157483" top="0.59055118110236227" bottom="0.59055118110236227" header="0.31496062992125984" footer="0.31496062992125984"/>
  <pageSetup paperSize="185" scale="60" fitToHeight="2" orientation="landscape" horizontalDpi="4294967293" vertic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BCF7-DA4E-4D8C-A333-50AA3AC90E20}">
  <dimension ref="A1:AM156"/>
  <sheetViews>
    <sheetView topLeftCell="A2" zoomScale="87" zoomScaleNormal="85" workbookViewId="0">
      <selection activeCell="G39" sqref="G39"/>
    </sheetView>
  </sheetViews>
  <sheetFormatPr baseColWidth="10" defaultRowHeight="14.4" x14ac:dyDescent="0.3"/>
  <cols>
    <col min="1" max="1" width="10.5546875" bestFit="1" customWidth="1"/>
    <col min="2" max="2" width="41.88671875" customWidth="1"/>
    <col min="3" max="3" width="4" bestFit="1" customWidth="1"/>
    <col min="4" max="4" width="6.109375" style="1" bestFit="1" customWidth="1"/>
    <col min="5" max="8" width="5.77734375" style="1" customWidth="1"/>
    <col min="9" max="9" width="1.77734375" style="1" customWidth="1"/>
    <col min="10" max="13" width="5.77734375" style="1" customWidth="1"/>
    <col min="14" max="14" width="5.88671875" style="1" customWidth="1"/>
    <col min="15" max="15" width="1.77734375" style="1" customWidth="1"/>
    <col min="16" max="20" width="5.77734375" style="1" customWidth="1"/>
    <col min="21" max="21" width="1.44140625" customWidth="1"/>
    <col min="22" max="22" width="5.77734375" style="17" customWidth="1"/>
    <col min="23" max="23" width="5.77734375" style="1" customWidth="1"/>
    <col min="24" max="26" width="5.77734375" style="17" customWidth="1"/>
    <col min="27" max="27" width="1.77734375" style="17" customWidth="1"/>
    <col min="28" max="32" width="5.77734375" style="17" customWidth="1"/>
    <col min="33" max="33" width="4.77734375" style="17" customWidth="1"/>
    <col min="34" max="34" width="10.77734375" style="1" customWidth="1"/>
    <col min="35" max="35" width="4" bestFit="1" customWidth="1"/>
    <col min="36" max="36" width="4.5546875" bestFit="1" customWidth="1"/>
    <col min="38" max="38" width="4.33203125" customWidth="1"/>
    <col min="39" max="39" width="6" style="29" bestFit="1" customWidth="1"/>
  </cols>
  <sheetData>
    <row r="1" spans="2:39" x14ac:dyDescent="0.3">
      <c r="AL1" t="s">
        <v>65</v>
      </c>
      <c r="AM1" s="29">
        <v>0.15</v>
      </c>
    </row>
    <row r="2" spans="2:39" x14ac:dyDescent="0.3">
      <c r="B2" s="317" t="s">
        <v>21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L2" t="s">
        <v>63</v>
      </c>
    </row>
    <row r="3" spans="2:39" x14ac:dyDescent="0.3">
      <c r="AL3" t="s">
        <v>64</v>
      </c>
    </row>
    <row r="4" spans="2:39" ht="14.4" customHeight="1" x14ac:dyDescent="0.3">
      <c r="B4" s="314" t="s">
        <v>26</v>
      </c>
      <c r="C4" s="316" t="s">
        <v>24</v>
      </c>
      <c r="D4" s="318" t="s">
        <v>13</v>
      </c>
      <c r="E4" s="318"/>
      <c r="F4" s="318"/>
      <c r="G4" s="318"/>
      <c r="H4" s="318"/>
      <c r="I4" s="14"/>
      <c r="J4" s="318" t="s">
        <v>17</v>
      </c>
      <c r="K4" s="318"/>
      <c r="L4" s="318"/>
      <c r="M4" s="318"/>
      <c r="N4" s="318"/>
      <c r="O4" s="14"/>
      <c r="P4" s="318" t="s">
        <v>18</v>
      </c>
      <c r="Q4" s="318"/>
      <c r="R4" s="318"/>
      <c r="S4" s="318"/>
      <c r="T4" s="318"/>
      <c r="U4" s="14"/>
      <c r="V4" s="317" t="s">
        <v>19</v>
      </c>
      <c r="W4" s="317"/>
      <c r="X4" s="317"/>
      <c r="Y4" s="317"/>
      <c r="Z4" s="19"/>
      <c r="AA4" s="14"/>
      <c r="AB4" s="317" t="s">
        <v>20</v>
      </c>
      <c r="AC4" s="317"/>
      <c r="AD4" s="317"/>
      <c r="AE4" s="317"/>
      <c r="AF4" s="317"/>
      <c r="AH4" s="26" t="s">
        <v>61</v>
      </c>
      <c r="AL4" t="s">
        <v>66</v>
      </c>
      <c r="AM4" s="29">
        <v>0.17</v>
      </c>
    </row>
    <row r="5" spans="2:39" ht="14.4" customHeight="1" x14ac:dyDescent="0.3">
      <c r="B5" s="314"/>
      <c r="C5" s="316"/>
      <c r="D5" s="15">
        <v>11</v>
      </c>
      <c r="E5" s="15">
        <v>12</v>
      </c>
      <c r="F5" s="15">
        <v>13</v>
      </c>
      <c r="G5" s="15">
        <v>14</v>
      </c>
      <c r="H5" s="15">
        <v>15</v>
      </c>
      <c r="I5" s="14"/>
      <c r="J5" s="15">
        <v>18</v>
      </c>
      <c r="K5" s="15">
        <v>19</v>
      </c>
      <c r="L5" s="15">
        <v>20</v>
      </c>
      <c r="M5" s="15">
        <v>21</v>
      </c>
      <c r="N5" s="15">
        <v>22</v>
      </c>
      <c r="O5" s="14"/>
      <c r="P5" s="15">
        <v>25</v>
      </c>
      <c r="Q5" s="15">
        <v>26</v>
      </c>
      <c r="R5" s="15">
        <v>27</v>
      </c>
      <c r="S5" s="15">
        <v>28</v>
      </c>
      <c r="T5" s="15">
        <v>29</v>
      </c>
      <c r="U5" s="14"/>
      <c r="V5" s="18">
        <v>1</v>
      </c>
      <c r="W5" s="15">
        <v>2</v>
      </c>
      <c r="X5" s="18">
        <v>3</v>
      </c>
      <c r="Y5" s="18">
        <v>4</v>
      </c>
      <c r="Z5" s="18">
        <v>5</v>
      </c>
      <c r="AA5" s="14"/>
      <c r="AB5" s="18">
        <v>8</v>
      </c>
      <c r="AC5" s="18">
        <v>9</v>
      </c>
      <c r="AD5" s="18">
        <v>10</v>
      </c>
      <c r="AE5" s="18">
        <v>11</v>
      </c>
      <c r="AF5" s="18">
        <v>12</v>
      </c>
      <c r="AH5" s="28">
        <v>360</v>
      </c>
      <c r="AI5" s="25" t="s">
        <v>62</v>
      </c>
      <c r="AJ5" s="33">
        <f>100/360</f>
        <v>0.27777777777777779</v>
      </c>
      <c r="AL5" t="s">
        <v>67</v>
      </c>
      <c r="AM5" s="29">
        <v>0.1</v>
      </c>
    </row>
    <row r="6" spans="2:39" x14ac:dyDescent="0.3">
      <c r="B6" s="314"/>
      <c r="C6" s="316"/>
      <c r="D6" s="22" t="s">
        <v>45</v>
      </c>
      <c r="E6" s="22" t="s">
        <v>46</v>
      </c>
      <c r="F6" s="22" t="s">
        <v>47</v>
      </c>
      <c r="G6" s="22" t="s">
        <v>48</v>
      </c>
      <c r="H6" s="22" t="s">
        <v>44</v>
      </c>
      <c r="I6" s="22"/>
      <c r="J6" s="22" t="s">
        <v>35</v>
      </c>
      <c r="K6" s="22" t="s">
        <v>36</v>
      </c>
      <c r="L6" s="22" t="s">
        <v>37</v>
      </c>
      <c r="M6" s="22" t="s">
        <v>38</v>
      </c>
      <c r="N6" s="22" t="s">
        <v>39</v>
      </c>
      <c r="O6" s="22"/>
      <c r="P6" s="22" t="s">
        <v>40</v>
      </c>
      <c r="Q6" s="22" t="s">
        <v>41</v>
      </c>
      <c r="R6" s="22" t="s">
        <v>42</v>
      </c>
      <c r="S6" s="22" t="s">
        <v>43</v>
      </c>
      <c r="T6" s="22" t="s">
        <v>49</v>
      </c>
      <c r="U6" s="23"/>
      <c r="V6" s="22" t="s">
        <v>50</v>
      </c>
      <c r="W6" s="22" t="s">
        <v>51</v>
      </c>
      <c r="X6" s="22" t="s">
        <v>52</v>
      </c>
      <c r="Y6" s="22" t="s">
        <v>53</v>
      </c>
      <c r="Z6" s="22" t="s">
        <v>54</v>
      </c>
      <c r="AA6" s="24"/>
      <c r="AB6" s="22" t="s">
        <v>55</v>
      </c>
      <c r="AC6" s="22" t="s">
        <v>56</v>
      </c>
      <c r="AD6" s="22" t="s">
        <v>57</v>
      </c>
      <c r="AE6" s="22" t="s">
        <v>58</v>
      </c>
      <c r="AF6" s="22" t="s">
        <v>59</v>
      </c>
      <c r="AG6" s="21"/>
      <c r="AJ6" s="31">
        <f>AJ5*AH8</f>
        <v>45.361111111111114</v>
      </c>
      <c r="AL6" t="s">
        <v>68</v>
      </c>
    </row>
    <row r="7" spans="2:39" ht="15.6" x14ac:dyDescent="0.3">
      <c r="B7" s="314"/>
      <c r="C7" s="316"/>
      <c r="F7" s="1">
        <v>3.3</v>
      </c>
      <c r="G7" s="1">
        <v>4</v>
      </c>
      <c r="H7" s="1">
        <v>16</v>
      </c>
      <c r="J7" s="1">
        <v>15</v>
      </c>
      <c r="K7" s="1">
        <v>12</v>
      </c>
      <c r="L7" s="1">
        <v>7</v>
      </c>
      <c r="M7" s="1">
        <v>10</v>
      </c>
      <c r="N7" s="1" t="s">
        <v>34</v>
      </c>
      <c r="P7" s="1">
        <v>2</v>
      </c>
      <c r="Q7" s="1">
        <v>16</v>
      </c>
      <c r="R7" s="1">
        <v>12</v>
      </c>
      <c r="S7" s="1">
        <v>15</v>
      </c>
      <c r="T7" s="1">
        <v>6</v>
      </c>
      <c r="V7" s="17">
        <v>7</v>
      </c>
      <c r="W7" s="1">
        <v>9</v>
      </c>
      <c r="X7" s="17">
        <v>2</v>
      </c>
      <c r="Y7" s="17">
        <v>8</v>
      </c>
      <c r="Z7" s="17">
        <v>6</v>
      </c>
      <c r="AH7" s="26" t="s">
        <v>60</v>
      </c>
      <c r="AM7" s="30">
        <f>SUM(AM1:AM6)</f>
        <v>0.42000000000000004</v>
      </c>
    </row>
    <row r="8" spans="2:39" x14ac:dyDescent="0.3">
      <c r="B8" s="314"/>
      <c r="C8" s="316"/>
      <c r="Y8" s="17">
        <v>10</v>
      </c>
      <c r="Z8" s="17">
        <v>3</v>
      </c>
      <c r="AH8" s="27">
        <f>SUM(E10:AF10)</f>
        <v>163.30000000000001</v>
      </c>
      <c r="AI8" s="25" t="s">
        <v>62</v>
      </c>
    </row>
    <row r="9" spans="2:39" x14ac:dyDescent="0.3">
      <c r="B9" s="314"/>
      <c r="C9" s="316"/>
    </row>
    <row r="10" spans="2:39" ht="15.6" x14ac:dyDescent="0.3">
      <c r="H10" s="20">
        <f>SUM(D6:H9)</f>
        <v>23.3</v>
      </c>
      <c r="N10" s="20">
        <f>SUM(J6:N9)</f>
        <v>44</v>
      </c>
      <c r="T10" s="20">
        <f>SUM(P6:T9)</f>
        <v>51</v>
      </c>
      <c r="Z10" s="20">
        <f>SUM(V6:Z9)</f>
        <v>45</v>
      </c>
      <c r="AF10" s="20">
        <f>SUM(AB6:AF9)</f>
        <v>0</v>
      </c>
      <c r="AL10" t="s">
        <v>65</v>
      </c>
      <c r="AM10" s="29">
        <v>0.15</v>
      </c>
    </row>
    <row r="11" spans="2:39" x14ac:dyDescent="0.3">
      <c r="B11" s="314" t="s">
        <v>26</v>
      </c>
      <c r="C11" s="316" t="s">
        <v>23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3"/>
      <c r="V11" s="19"/>
      <c r="W11" s="16"/>
      <c r="X11" s="19"/>
      <c r="Y11" s="19"/>
      <c r="Z11" s="19"/>
      <c r="AA11" s="19"/>
      <c r="AB11" s="19"/>
      <c r="AC11" s="19"/>
      <c r="AD11" s="19"/>
      <c r="AE11" s="19"/>
      <c r="AF11" s="19"/>
      <c r="AH11" s="26" t="s">
        <v>61</v>
      </c>
      <c r="AL11" t="s">
        <v>63</v>
      </c>
    </row>
    <row r="12" spans="2:39" x14ac:dyDescent="0.3">
      <c r="B12" s="314"/>
      <c r="C12" s="316"/>
      <c r="D12" s="22" t="s">
        <v>45</v>
      </c>
      <c r="E12" s="22" t="s">
        <v>46</v>
      </c>
      <c r="F12" s="22" t="s">
        <v>47</v>
      </c>
      <c r="G12" s="22" t="s">
        <v>48</v>
      </c>
      <c r="H12" s="22" t="s">
        <v>44</v>
      </c>
      <c r="I12" s="22"/>
      <c r="J12" s="22" t="s">
        <v>35</v>
      </c>
      <c r="K12" s="22" t="s">
        <v>36</v>
      </c>
      <c r="L12" s="22" t="s">
        <v>37</v>
      </c>
      <c r="M12" s="22" t="s">
        <v>38</v>
      </c>
      <c r="N12" s="22" t="s">
        <v>39</v>
      </c>
      <c r="O12" s="22"/>
      <c r="P12" s="22" t="s">
        <v>40</v>
      </c>
      <c r="Q12" s="22" t="s">
        <v>41</v>
      </c>
      <c r="R12" s="22" t="s">
        <v>42</v>
      </c>
      <c r="S12" s="22" t="s">
        <v>43</v>
      </c>
      <c r="T12" s="22" t="s">
        <v>49</v>
      </c>
      <c r="U12" s="23"/>
      <c r="V12" s="22" t="s">
        <v>50</v>
      </c>
      <c r="W12" s="22" t="s">
        <v>51</v>
      </c>
      <c r="X12" s="22" t="s">
        <v>52</v>
      </c>
      <c r="Y12" s="22" t="s">
        <v>53</v>
      </c>
      <c r="Z12" s="22" t="s">
        <v>54</v>
      </c>
      <c r="AA12" s="24"/>
      <c r="AB12" s="22" t="s">
        <v>55</v>
      </c>
      <c r="AC12" s="22" t="s">
        <v>56</v>
      </c>
      <c r="AD12" s="22" t="s">
        <v>57</v>
      </c>
      <c r="AE12" s="22" t="s">
        <v>58</v>
      </c>
      <c r="AF12" s="22" t="s">
        <v>59</v>
      </c>
      <c r="AH12" s="28">
        <v>900</v>
      </c>
      <c r="AI12" s="25" t="s">
        <v>22</v>
      </c>
      <c r="AJ12" s="33">
        <f>100/900</f>
        <v>0.1111111111111111</v>
      </c>
      <c r="AL12" t="s">
        <v>64</v>
      </c>
    </row>
    <row r="13" spans="2:39" x14ac:dyDescent="0.3">
      <c r="B13" s="314"/>
      <c r="C13" s="316"/>
      <c r="F13" s="1">
        <v>9</v>
      </c>
      <c r="G13" s="1">
        <v>15</v>
      </c>
      <c r="H13" s="1">
        <v>16</v>
      </c>
      <c r="J13" s="1">
        <v>15</v>
      </c>
      <c r="K13" s="1">
        <v>9</v>
      </c>
      <c r="L13" s="1">
        <v>3</v>
      </c>
      <c r="M13" s="1">
        <v>6</v>
      </c>
      <c r="N13" s="1" t="s">
        <v>34</v>
      </c>
      <c r="P13" s="1">
        <v>2</v>
      </c>
      <c r="Q13" s="1">
        <v>9</v>
      </c>
      <c r="R13" s="1">
        <v>18</v>
      </c>
      <c r="S13" s="1">
        <v>18</v>
      </c>
      <c r="T13" s="1">
        <v>21</v>
      </c>
      <c r="V13" s="17">
        <v>12</v>
      </c>
      <c r="W13" s="1">
        <v>12</v>
      </c>
      <c r="X13" s="17">
        <v>3</v>
      </c>
      <c r="Y13" s="17">
        <v>18</v>
      </c>
      <c r="Z13" s="17">
        <v>10</v>
      </c>
      <c r="AJ13" s="32">
        <f>AJ12*AH15</f>
        <v>24.666666666666664</v>
      </c>
      <c r="AL13" t="s">
        <v>66</v>
      </c>
      <c r="AM13" s="29">
        <v>0.17</v>
      </c>
    </row>
    <row r="14" spans="2:39" x14ac:dyDescent="0.3">
      <c r="B14" s="314"/>
      <c r="C14" s="316"/>
      <c r="Y14" s="17">
        <v>8</v>
      </c>
      <c r="Z14" s="17">
        <v>18</v>
      </c>
      <c r="AH14" s="26" t="s">
        <v>60</v>
      </c>
      <c r="AL14" t="s">
        <v>67</v>
      </c>
      <c r="AM14" s="29">
        <v>0.1</v>
      </c>
    </row>
    <row r="15" spans="2:39" x14ac:dyDescent="0.3">
      <c r="B15" s="314"/>
      <c r="C15" s="316"/>
      <c r="AH15" s="27">
        <f>SUM(E16:AF16)</f>
        <v>222</v>
      </c>
      <c r="AI15" s="25" t="s">
        <v>22</v>
      </c>
      <c r="AL15" t="s">
        <v>68</v>
      </c>
    </row>
    <row r="16" spans="2:39" ht="15.6" x14ac:dyDescent="0.3">
      <c r="D16"/>
      <c r="H16" s="20">
        <f>SUM(D12:H15)</f>
        <v>40</v>
      </c>
      <c r="N16" s="20">
        <f>SUM(J12:N15)</f>
        <v>33</v>
      </c>
      <c r="T16" s="20">
        <f>SUM(P13:T15)</f>
        <v>68</v>
      </c>
      <c r="U16" s="1"/>
      <c r="V16" s="1"/>
      <c r="X16" s="1"/>
      <c r="Y16" s="1"/>
      <c r="Z16" s="20">
        <f>SUM(V12:Z15)</f>
        <v>81</v>
      </c>
      <c r="AA16" s="1"/>
      <c r="AB16" s="1"/>
      <c r="AC16" s="1"/>
      <c r="AD16" s="1"/>
      <c r="AE16" s="1"/>
      <c r="AF16" s="20">
        <f>SUM(AB12:AF15)</f>
        <v>0</v>
      </c>
      <c r="AM16" s="30">
        <f>SUM(AM10:AM15)</f>
        <v>0.42000000000000004</v>
      </c>
    </row>
    <row r="17" spans="2:36" ht="14.4" customHeight="1" x14ac:dyDescent="0.3">
      <c r="B17" s="314" t="s">
        <v>32</v>
      </c>
      <c r="C17" s="315" t="s">
        <v>25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3"/>
      <c r="V17" s="19"/>
      <c r="W17" s="16"/>
      <c r="X17" s="19"/>
      <c r="Y17" s="19"/>
      <c r="Z17" s="19"/>
      <c r="AA17" s="19"/>
      <c r="AB17" s="19"/>
      <c r="AC17" s="19"/>
      <c r="AD17" s="19"/>
      <c r="AE17" s="19"/>
      <c r="AF17" s="19"/>
      <c r="AH17" s="26" t="s">
        <v>61</v>
      </c>
    </row>
    <row r="18" spans="2:36" x14ac:dyDescent="0.3">
      <c r="B18" s="314"/>
      <c r="C18" s="315"/>
      <c r="D18" s="22" t="s">
        <v>45</v>
      </c>
      <c r="E18" s="22" t="s">
        <v>46</v>
      </c>
      <c r="F18" s="22" t="s">
        <v>47</v>
      </c>
      <c r="G18" s="22" t="s">
        <v>48</v>
      </c>
      <c r="H18" s="22" t="s">
        <v>44</v>
      </c>
      <c r="I18" s="22"/>
      <c r="J18" s="22" t="s">
        <v>35</v>
      </c>
      <c r="K18" s="22" t="s">
        <v>36</v>
      </c>
      <c r="L18" s="22" t="s">
        <v>37</v>
      </c>
      <c r="M18" s="22" t="s">
        <v>38</v>
      </c>
      <c r="N18" s="22" t="s">
        <v>39</v>
      </c>
      <c r="O18" s="22"/>
      <c r="P18" s="22" t="s">
        <v>40</v>
      </c>
      <c r="Q18" s="22" t="s">
        <v>41</v>
      </c>
      <c r="R18" s="22" t="s">
        <v>42</v>
      </c>
      <c r="S18" s="22" t="s">
        <v>43</v>
      </c>
      <c r="T18" s="22" t="s">
        <v>49</v>
      </c>
      <c r="U18" s="23"/>
      <c r="V18" s="22" t="s">
        <v>50</v>
      </c>
      <c r="W18" s="22" t="s">
        <v>51</v>
      </c>
      <c r="X18" s="22" t="s">
        <v>52</v>
      </c>
      <c r="Y18" s="22" t="s">
        <v>53</v>
      </c>
      <c r="Z18" s="22" t="s">
        <v>54</v>
      </c>
      <c r="AA18" s="24"/>
      <c r="AB18" s="22" t="s">
        <v>55</v>
      </c>
      <c r="AC18" s="22" t="s">
        <v>56</v>
      </c>
      <c r="AD18" s="22" t="s">
        <v>57</v>
      </c>
      <c r="AE18" s="22" t="s">
        <v>58</v>
      </c>
      <c r="AF18" s="22" t="s">
        <v>59</v>
      </c>
      <c r="AH18" s="28">
        <v>62</v>
      </c>
      <c r="AI18" s="25" t="s">
        <v>62</v>
      </c>
    </row>
    <row r="19" spans="2:36" x14ac:dyDescent="0.3">
      <c r="B19" s="314"/>
      <c r="C19" s="315"/>
      <c r="D19" s="8" t="s">
        <v>27</v>
      </c>
      <c r="M19" s="1">
        <v>15</v>
      </c>
      <c r="N19" s="1" t="s">
        <v>34</v>
      </c>
      <c r="R19" s="1">
        <v>14</v>
      </c>
    </row>
    <row r="20" spans="2:36" x14ac:dyDescent="0.3">
      <c r="B20" s="314"/>
      <c r="C20" s="315"/>
      <c r="D20" s="8" t="s">
        <v>28</v>
      </c>
      <c r="AH20" s="26" t="s">
        <v>60</v>
      </c>
    </row>
    <row r="21" spans="2:36" x14ac:dyDescent="0.3">
      <c r="B21" s="314"/>
      <c r="C21" s="315"/>
      <c r="D21" s="8" t="s">
        <v>29</v>
      </c>
      <c r="AH21" s="27">
        <f>SUM(E24:AF24)</f>
        <v>29</v>
      </c>
      <c r="AI21" s="25" t="s">
        <v>62</v>
      </c>
    </row>
    <row r="22" spans="2:36" x14ac:dyDescent="0.3">
      <c r="B22" s="314"/>
      <c r="C22" s="315"/>
      <c r="D22" s="8" t="s">
        <v>30</v>
      </c>
    </row>
    <row r="23" spans="2:36" x14ac:dyDescent="0.3">
      <c r="B23" s="314"/>
      <c r="C23" s="315"/>
      <c r="D23" s="8" t="s">
        <v>31</v>
      </c>
    </row>
    <row r="24" spans="2:36" ht="15.6" x14ac:dyDescent="0.3">
      <c r="H24" s="20">
        <f>SUM(E19:H23)</f>
        <v>0</v>
      </c>
      <c r="N24" s="20">
        <f>SUM(J19:N23)</f>
        <v>15</v>
      </c>
      <c r="T24" s="20">
        <f>SUM(P19:T23)</f>
        <v>14</v>
      </c>
      <c r="U24" s="1"/>
      <c r="V24" s="1"/>
      <c r="X24" s="1"/>
      <c r="Y24" s="1"/>
      <c r="Z24" s="20">
        <f>SUM(V19:Z23)</f>
        <v>0</v>
      </c>
      <c r="AA24" s="1"/>
      <c r="AB24" s="1"/>
      <c r="AC24" s="1"/>
      <c r="AD24" s="1"/>
      <c r="AE24" s="1"/>
      <c r="AF24" s="20">
        <f>SUM(AB19:AF23)</f>
        <v>0</v>
      </c>
    </row>
    <row r="25" spans="2:36" ht="14.4" customHeight="1" x14ac:dyDescent="0.3">
      <c r="B25" s="314" t="s">
        <v>26</v>
      </c>
      <c r="C25" s="315" t="s">
        <v>25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3"/>
      <c r="V25" s="19"/>
      <c r="W25" s="16"/>
      <c r="X25" s="19"/>
      <c r="Y25" s="19"/>
      <c r="Z25" s="19"/>
      <c r="AA25" s="19"/>
      <c r="AB25" s="19"/>
      <c r="AC25" s="19"/>
      <c r="AD25" s="19"/>
      <c r="AE25" s="19"/>
      <c r="AF25" s="19"/>
      <c r="AH25" s="26" t="s">
        <v>61</v>
      </c>
    </row>
    <row r="26" spans="2:36" x14ac:dyDescent="0.3">
      <c r="B26" s="314"/>
      <c r="C26" s="315"/>
      <c r="D26" s="22" t="s">
        <v>45</v>
      </c>
      <c r="E26" s="22" t="s">
        <v>46</v>
      </c>
      <c r="F26" s="22" t="s">
        <v>47</v>
      </c>
      <c r="G26" s="22" t="s">
        <v>48</v>
      </c>
      <c r="H26" s="22" t="s">
        <v>44</v>
      </c>
      <c r="I26" s="22"/>
      <c r="J26" s="22" t="s">
        <v>35</v>
      </c>
      <c r="K26" s="22" t="s">
        <v>36</v>
      </c>
      <c r="L26" s="22" t="s">
        <v>37</v>
      </c>
      <c r="M26" s="22" t="s">
        <v>38</v>
      </c>
      <c r="N26" s="22" t="s">
        <v>39</v>
      </c>
      <c r="O26" s="22"/>
      <c r="P26" s="22" t="s">
        <v>40</v>
      </c>
      <c r="Q26" s="22" t="s">
        <v>41</v>
      </c>
      <c r="R26" s="22" t="s">
        <v>42</v>
      </c>
      <c r="S26" s="22" t="s">
        <v>43</v>
      </c>
      <c r="T26" s="22" t="s">
        <v>49</v>
      </c>
      <c r="U26" s="23"/>
      <c r="V26" s="22" t="s">
        <v>50</v>
      </c>
      <c r="W26" s="22" t="s">
        <v>51</v>
      </c>
      <c r="X26" s="22" t="s">
        <v>52</v>
      </c>
      <c r="Y26" s="22" t="s">
        <v>53</v>
      </c>
      <c r="Z26" s="22" t="s">
        <v>54</v>
      </c>
      <c r="AA26" s="24"/>
      <c r="AB26" s="22" t="s">
        <v>55</v>
      </c>
      <c r="AC26" s="22" t="s">
        <v>56</v>
      </c>
      <c r="AD26" s="22" t="s">
        <v>57</v>
      </c>
      <c r="AE26" s="22" t="s">
        <v>58</v>
      </c>
      <c r="AF26" s="22" t="s">
        <v>59</v>
      </c>
      <c r="AH26" s="28">
        <v>62</v>
      </c>
      <c r="AI26" s="25" t="s">
        <v>62</v>
      </c>
      <c r="AJ26" s="25"/>
    </row>
    <row r="27" spans="2:36" x14ac:dyDescent="0.3">
      <c r="B27" s="314"/>
      <c r="C27" s="315"/>
      <c r="D27" s="8" t="s">
        <v>27</v>
      </c>
      <c r="E27" s="1">
        <v>27</v>
      </c>
      <c r="R27" s="1">
        <f>S27*T27</f>
        <v>44.444444444444443</v>
      </c>
      <c r="S27" s="1">
        <f>100/E27</f>
        <v>3.7037037037037037</v>
      </c>
      <c r="T27" s="1">
        <f>(V27+W27+X27+Y27+Z27+AB27+AC27+AD27+AE27+AF27)</f>
        <v>12</v>
      </c>
      <c r="V27" s="17">
        <v>5</v>
      </c>
      <c r="W27" s="1">
        <v>3</v>
      </c>
      <c r="X27" s="17">
        <v>2</v>
      </c>
      <c r="Y27" s="17">
        <v>1</v>
      </c>
      <c r="Z27" s="17">
        <v>1</v>
      </c>
    </row>
    <row r="28" spans="2:36" x14ac:dyDescent="0.3">
      <c r="B28" s="314"/>
      <c r="C28" s="315"/>
      <c r="D28" s="8" t="s">
        <v>28</v>
      </c>
      <c r="E28" s="1">
        <v>5</v>
      </c>
      <c r="R28" s="1">
        <f>S28*T28</f>
        <v>0</v>
      </c>
      <c r="S28" s="1">
        <f>100/E28</f>
        <v>20</v>
      </c>
      <c r="T28" s="1">
        <f>(V28+W28+X28+Y28+Z28+AB28+AC28+AD28+AE28+AF28)</f>
        <v>0</v>
      </c>
      <c r="AH28" s="26" t="s">
        <v>60</v>
      </c>
    </row>
    <row r="29" spans="2:36" x14ac:dyDescent="0.3">
      <c r="B29" s="314"/>
      <c r="C29" s="315"/>
      <c r="D29" s="8" t="s">
        <v>29</v>
      </c>
      <c r="E29" s="1">
        <v>18</v>
      </c>
      <c r="R29" s="1">
        <f>S29*T29</f>
        <v>66.666666666666657</v>
      </c>
      <c r="S29" s="1">
        <f>100/E29</f>
        <v>5.5555555555555554</v>
      </c>
      <c r="T29" s="1">
        <f>(V29+W29+X29+Y29+Z29+AB29+AC29+AD29+AE29+AF29)</f>
        <v>12</v>
      </c>
      <c r="W29" s="1">
        <v>3</v>
      </c>
      <c r="X29" s="17">
        <v>2</v>
      </c>
      <c r="Y29" s="17">
        <v>6</v>
      </c>
      <c r="Z29" s="17">
        <v>1</v>
      </c>
      <c r="AH29" s="27">
        <f>SUM(E32:AF32)</f>
        <v>384.50370370370371</v>
      </c>
      <c r="AI29" s="25" t="s">
        <v>62</v>
      </c>
    </row>
    <row r="30" spans="2:36" x14ac:dyDescent="0.3">
      <c r="B30" s="314"/>
      <c r="C30" s="315"/>
      <c r="D30" s="8" t="s">
        <v>30</v>
      </c>
      <c r="E30" s="1">
        <v>12</v>
      </c>
      <c r="R30" s="1">
        <f>S30*T30</f>
        <v>0</v>
      </c>
      <c r="S30" s="1">
        <f>100/E30</f>
        <v>8.3333333333333339</v>
      </c>
    </row>
    <row r="31" spans="2:36" x14ac:dyDescent="0.3">
      <c r="B31" s="314"/>
      <c r="C31" s="315"/>
      <c r="D31" s="8" t="s">
        <v>31</v>
      </c>
      <c r="E31" s="1">
        <v>125</v>
      </c>
      <c r="R31" s="1">
        <f>S31*T31</f>
        <v>0</v>
      </c>
      <c r="S31" s="1">
        <f>100/E31</f>
        <v>0.8</v>
      </c>
    </row>
    <row r="32" spans="2:36" ht="15.6" x14ac:dyDescent="0.3">
      <c r="H32" s="20">
        <f>SUM(E27:H31)</f>
        <v>187</v>
      </c>
      <c r="N32" s="20">
        <f>SUM(J27:N31)</f>
        <v>0</v>
      </c>
      <c r="T32" s="20">
        <f>SUM(P27:T31)</f>
        <v>173.50370370370371</v>
      </c>
      <c r="U32" s="1"/>
      <c r="V32" s="1"/>
      <c r="X32" s="1"/>
      <c r="Y32" s="1"/>
      <c r="Z32" s="20">
        <f>SUM(V27:Z31)</f>
        <v>24</v>
      </c>
      <c r="AA32" s="1"/>
      <c r="AB32" s="1"/>
      <c r="AC32" s="1"/>
      <c r="AD32" s="1"/>
      <c r="AE32" s="1"/>
      <c r="AF32" s="20">
        <f>SUM(AB27:AF31)</f>
        <v>0</v>
      </c>
    </row>
    <row r="33" spans="1:36" ht="14.4" customHeight="1" x14ac:dyDescent="0.3">
      <c r="B33" s="314" t="s">
        <v>33</v>
      </c>
      <c r="C33" s="3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3"/>
      <c r="V33" s="19"/>
      <c r="W33" s="16"/>
      <c r="X33" s="19"/>
      <c r="Y33" s="19"/>
      <c r="Z33" s="19"/>
      <c r="AA33" s="19"/>
      <c r="AB33" s="19"/>
      <c r="AC33" s="19"/>
      <c r="AD33" s="19"/>
      <c r="AE33" s="19"/>
      <c r="AF33" s="19"/>
      <c r="AH33" s="26" t="s">
        <v>61</v>
      </c>
    </row>
    <row r="34" spans="1:36" x14ac:dyDescent="0.3">
      <c r="B34" s="314"/>
      <c r="C34" s="315"/>
      <c r="D34" s="22" t="s">
        <v>45</v>
      </c>
      <c r="E34" s="22" t="s">
        <v>46</v>
      </c>
      <c r="F34" s="22" t="s">
        <v>47</v>
      </c>
      <c r="G34" s="22" t="s">
        <v>48</v>
      </c>
      <c r="H34" s="22" t="s">
        <v>44</v>
      </c>
      <c r="I34" s="22"/>
      <c r="J34" s="22" t="s">
        <v>35</v>
      </c>
      <c r="K34" s="22" t="s">
        <v>36</v>
      </c>
      <c r="L34" s="22" t="s">
        <v>37</v>
      </c>
      <c r="M34" s="22" t="s">
        <v>38</v>
      </c>
      <c r="N34" s="22" t="s">
        <v>39</v>
      </c>
      <c r="O34" s="22"/>
      <c r="P34" s="22" t="s">
        <v>40</v>
      </c>
      <c r="Q34" s="22" t="s">
        <v>41</v>
      </c>
      <c r="R34" s="22" t="s">
        <v>42</v>
      </c>
      <c r="S34" s="22" t="s">
        <v>43</v>
      </c>
      <c r="T34" s="22" t="s">
        <v>49</v>
      </c>
      <c r="U34" s="23"/>
      <c r="V34" s="22" t="s">
        <v>50</v>
      </c>
      <c r="W34" s="22" t="s">
        <v>51</v>
      </c>
      <c r="X34" s="22" t="s">
        <v>52</v>
      </c>
      <c r="Y34" s="22" t="s">
        <v>53</v>
      </c>
      <c r="Z34" s="22" t="s">
        <v>54</v>
      </c>
      <c r="AA34" s="24"/>
      <c r="AB34" s="22" t="s">
        <v>55</v>
      </c>
      <c r="AC34" s="22" t="s">
        <v>56</v>
      </c>
      <c r="AD34" s="22" t="s">
        <v>57</v>
      </c>
      <c r="AE34" s="22" t="s">
        <v>58</v>
      </c>
      <c r="AF34" s="22" t="s">
        <v>59</v>
      </c>
      <c r="AH34" s="28">
        <v>900</v>
      </c>
      <c r="AI34" s="25" t="s">
        <v>62</v>
      </c>
      <c r="AJ34" s="25"/>
    </row>
    <row r="35" spans="1:36" x14ac:dyDescent="0.3">
      <c r="B35" s="314"/>
      <c r="C35" s="315"/>
      <c r="G35" s="1">
        <v>3</v>
      </c>
      <c r="L35" s="1">
        <v>3</v>
      </c>
    </row>
    <row r="36" spans="1:36" x14ac:dyDescent="0.3">
      <c r="B36" s="314"/>
      <c r="C36" s="315"/>
      <c r="AH36" s="26" t="s">
        <v>60</v>
      </c>
    </row>
    <row r="37" spans="1:36" x14ac:dyDescent="0.3">
      <c r="B37" s="314"/>
      <c r="C37" s="315"/>
      <c r="AH37" s="27">
        <f>SUM(E40:AF40)</f>
        <v>6</v>
      </c>
      <c r="AI37" s="25" t="s">
        <v>62</v>
      </c>
    </row>
    <row r="38" spans="1:36" x14ac:dyDescent="0.3">
      <c r="B38" s="314"/>
      <c r="C38" s="315"/>
    </row>
    <row r="39" spans="1:36" x14ac:dyDescent="0.3">
      <c r="B39" s="314"/>
      <c r="C39" s="315"/>
    </row>
    <row r="40" spans="1:36" ht="15.6" x14ac:dyDescent="0.3">
      <c r="H40" s="20">
        <f>SUM(E35:H39)</f>
        <v>3</v>
      </c>
      <c r="N40" s="20">
        <f>SUM(K35:N39)</f>
        <v>3</v>
      </c>
      <c r="T40" s="20">
        <f>SUM(Q35:T39)</f>
        <v>0</v>
      </c>
      <c r="Z40" s="20">
        <f>SUM(W35:Z39)</f>
        <v>0</v>
      </c>
      <c r="AF40" s="20">
        <f>SUM(AC35:AF39)</f>
        <v>0</v>
      </c>
    </row>
    <row r="43" spans="1:36" x14ac:dyDescent="0.3">
      <c r="F43" s="1">
        <v>1</v>
      </c>
      <c r="G43" s="1" t="s">
        <v>658</v>
      </c>
    </row>
    <row r="44" spans="1:36" x14ac:dyDescent="0.3">
      <c r="A44" s="162">
        <v>45938</v>
      </c>
      <c r="B44" t="s">
        <v>482</v>
      </c>
      <c r="C44">
        <v>1</v>
      </c>
      <c r="D44" s="1" t="s">
        <v>490</v>
      </c>
      <c r="F44" s="1">
        <v>1</v>
      </c>
      <c r="G44" s="1" t="s">
        <v>492</v>
      </c>
    </row>
    <row r="45" spans="1:36" x14ac:dyDescent="0.3">
      <c r="B45" t="s">
        <v>483</v>
      </c>
      <c r="C45">
        <v>1</v>
      </c>
      <c r="D45" s="1" t="s">
        <v>490</v>
      </c>
      <c r="F45" s="1">
        <v>1</v>
      </c>
      <c r="G45" s="1" t="s">
        <v>493</v>
      </c>
    </row>
    <row r="46" spans="1:36" x14ac:dyDescent="0.3">
      <c r="B46" t="s">
        <v>484</v>
      </c>
      <c r="C46">
        <v>4</v>
      </c>
      <c r="D46" s="1" t="s">
        <v>22</v>
      </c>
      <c r="F46" s="1">
        <v>3</v>
      </c>
      <c r="G46" s="1" t="s">
        <v>494</v>
      </c>
    </row>
    <row r="47" spans="1:36" x14ac:dyDescent="0.3">
      <c r="A47" t="s">
        <v>495</v>
      </c>
      <c r="B47" t="s">
        <v>485</v>
      </c>
      <c r="C47">
        <v>4</v>
      </c>
      <c r="D47" s="1" t="s">
        <v>22</v>
      </c>
    </row>
    <row r="48" spans="1:36" x14ac:dyDescent="0.3">
      <c r="B48" t="s">
        <v>486</v>
      </c>
      <c r="C48">
        <v>8</v>
      </c>
      <c r="D48" s="1" t="s">
        <v>491</v>
      </c>
    </row>
    <row r="49" spans="1:7" x14ac:dyDescent="0.3">
      <c r="B49" t="s">
        <v>487</v>
      </c>
      <c r="C49">
        <v>139</v>
      </c>
      <c r="D49" s="1" t="s">
        <v>22</v>
      </c>
    </row>
    <row r="50" spans="1:7" x14ac:dyDescent="0.3">
      <c r="B50" t="s">
        <v>488</v>
      </c>
      <c r="C50">
        <v>50</v>
      </c>
      <c r="D50" s="1" t="s">
        <v>22</v>
      </c>
    </row>
    <row r="51" spans="1:7" x14ac:dyDescent="0.3">
      <c r="B51" t="s">
        <v>489</v>
      </c>
      <c r="C51">
        <v>1</v>
      </c>
      <c r="D51" s="1" t="s">
        <v>490</v>
      </c>
    </row>
    <row r="52" spans="1:7" x14ac:dyDescent="0.3">
      <c r="B52" t="s">
        <v>173</v>
      </c>
    </row>
    <row r="53" spans="1:7" x14ac:dyDescent="0.3">
      <c r="F53" s="1">
        <v>1</v>
      </c>
      <c r="G53" s="1" t="s">
        <v>658</v>
      </c>
    </row>
    <row r="54" spans="1:7" x14ac:dyDescent="0.3">
      <c r="A54" s="162">
        <v>45939</v>
      </c>
      <c r="B54" t="s">
        <v>482</v>
      </c>
      <c r="C54">
        <v>1</v>
      </c>
      <c r="D54" s="1" t="s">
        <v>490</v>
      </c>
      <c r="F54" s="1">
        <v>1</v>
      </c>
      <c r="G54" s="1" t="s">
        <v>492</v>
      </c>
    </row>
    <row r="55" spans="1:7" x14ac:dyDescent="0.3">
      <c r="F55" s="1">
        <v>0</v>
      </c>
      <c r="G55" s="1" t="s">
        <v>493</v>
      </c>
    </row>
    <row r="56" spans="1:7" x14ac:dyDescent="0.3">
      <c r="F56" s="1">
        <v>3</v>
      </c>
      <c r="G56" s="1" t="s">
        <v>494</v>
      </c>
    </row>
    <row r="58" spans="1:7" x14ac:dyDescent="0.3">
      <c r="A58" s="162">
        <v>45948</v>
      </c>
      <c r="B58" t="s">
        <v>516</v>
      </c>
      <c r="C58">
        <v>18</v>
      </c>
      <c r="D58" s="1" t="s">
        <v>22</v>
      </c>
    </row>
    <row r="59" spans="1:7" x14ac:dyDescent="0.3">
      <c r="B59" t="s">
        <v>517</v>
      </c>
      <c r="C59">
        <v>4</v>
      </c>
      <c r="D59" s="1" t="s">
        <v>490</v>
      </c>
      <c r="F59" s="1">
        <v>1</v>
      </c>
      <c r="G59" s="1" t="s">
        <v>658</v>
      </c>
    </row>
    <row r="60" spans="1:7" x14ac:dyDescent="0.3">
      <c r="B60" t="s">
        <v>518</v>
      </c>
      <c r="C60">
        <v>6</v>
      </c>
      <c r="D60" s="1" t="s">
        <v>490</v>
      </c>
      <c r="F60" s="1">
        <v>1</v>
      </c>
      <c r="G60" s="1" t="s">
        <v>492</v>
      </c>
    </row>
    <row r="61" spans="1:7" x14ac:dyDescent="0.3">
      <c r="B61" t="s">
        <v>519</v>
      </c>
      <c r="C61">
        <v>8</v>
      </c>
      <c r="D61" s="1" t="s">
        <v>490</v>
      </c>
      <c r="F61" s="1">
        <v>0</v>
      </c>
      <c r="G61" s="1" t="s">
        <v>493</v>
      </c>
    </row>
    <row r="62" spans="1:7" x14ac:dyDescent="0.3">
      <c r="B62" t="s">
        <v>520</v>
      </c>
      <c r="C62">
        <v>12</v>
      </c>
      <c r="D62" s="1" t="s">
        <v>62</v>
      </c>
      <c r="F62" s="1">
        <v>3</v>
      </c>
      <c r="G62" s="1" t="s">
        <v>494</v>
      </c>
    </row>
    <row r="63" spans="1:7" x14ac:dyDescent="0.3">
      <c r="B63" t="s">
        <v>521</v>
      </c>
      <c r="C63">
        <v>4</v>
      </c>
      <c r="D63" s="1" t="s">
        <v>490</v>
      </c>
    </row>
    <row r="65" spans="1:7" x14ac:dyDescent="0.3">
      <c r="A65" s="162">
        <v>45950</v>
      </c>
      <c r="B65" t="s">
        <v>522</v>
      </c>
      <c r="C65">
        <v>1</v>
      </c>
      <c r="D65" s="1" t="s">
        <v>490</v>
      </c>
      <c r="F65" s="1">
        <v>1</v>
      </c>
      <c r="G65" s="1" t="s">
        <v>658</v>
      </c>
    </row>
    <row r="66" spans="1:7" x14ac:dyDescent="0.3">
      <c r="B66" t="s">
        <v>524</v>
      </c>
      <c r="C66">
        <v>15</v>
      </c>
      <c r="D66" s="1" t="s">
        <v>22</v>
      </c>
      <c r="F66" s="1">
        <v>1</v>
      </c>
      <c r="G66" s="1" t="s">
        <v>492</v>
      </c>
    </row>
    <row r="67" spans="1:7" x14ac:dyDescent="0.3">
      <c r="B67" t="s">
        <v>525</v>
      </c>
      <c r="C67">
        <v>15</v>
      </c>
      <c r="D67" s="1" t="s">
        <v>22</v>
      </c>
      <c r="F67" s="1">
        <v>1</v>
      </c>
      <c r="G67" s="1" t="s">
        <v>493</v>
      </c>
    </row>
    <row r="68" spans="1:7" x14ac:dyDescent="0.3">
      <c r="B68" t="s">
        <v>482</v>
      </c>
      <c r="C68">
        <v>8</v>
      </c>
      <c r="D68" s="1" t="s">
        <v>490</v>
      </c>
      <c r="F68" s="1">
        <v>3</v>
      </c>
      <c r="G68" s="1" t="s">
        <v>494</v>
      </c>
    </row>
    <row r="69" spans="1:7" x14ac:dyDescent="0.3">
      <c r="B69" t="s">
        <v>523</v>
      </c>
      <c r="C69">
        <v>8</v>
      </c>
      <c r="D69" s="1" t="s">
        <v>490</v>
      </c>
    </row>
    <row r="70" spans="1:7" ht="16.8" customHeight="1" x14ac:dyDescent="0.3"/>
    <row r="71" spans="1:7" x14ac:dyDescent="0.3">
      <c r="A71" s="162">
        <v>45951</v>
      </c>
      <c r="B71" t="s">
        <v>482</v>
      </c>
      <c r="C71">
        <v>1</v>
      </c>
      <c r="D71" s="1" t="s">
        <v>490</v>
      </c>
    </row>
    <row r="72" spans="1:7" x14ac:dyDescent="0.3">
      <c r="B72" t="s">
        <v>483</v>
      </c>
      <c r="C72">
        <v>1</v>
      </c>
      <c r="D72" s="1" t="s">
        <v>490</v>
      </c>
      <c r="F72" s="1">
        <v>1</v>
      </c>
      <c r="G72" s="1" t="s">
        <v>658</v>
      </c>
    </row>
    <row r="73" spans="1:7" x14ac:dyDescent="0.3">
      <c r="B73" t="s">
        <v>496</v>
      </c>
      <c r="C73">
        <v>2</v>
      </c>
      <c r="D73" s="1" t="s">
        <v>490</v>
      </c>
      <c r="F73" s="1">
        <v>1</v>
      </c>
      <c r="G73" s="1" t="s">
        <v>492</v>
      </c>
    </row>
    <row r="74" spans="1:7" x14ac:dyDescent="0.3">
      <c r="B74" t="s">
        <v>485</v>
      </c>
      <c r="C74">
        <v>2</v>
      </c>
      <c r="D74" s="1" t="s">
        <v>490</v>
      </c>
      <c r="F74" s="1">
        <v>1</v>
      </c>
      <c r="G74" s="1" t="s">
        <v>493</v>
      </c>
    </row>
    <row r="75" spans="1:7" x14ac:dyDescent="0.3">
      <c r="B75" t="s">
        <v>497</v>
      </c>
      <c r="C75">
        <v>3</v>
      </c>
      <c r="D75" s="1" t="s">
        <v>490</v>
      </c>
      <c r="F75" s="1">
        <v>3</v>
      </c>
      <c r="G75" s="1" t="s">
        <v>494</v>
      </c>
    </row>
    <row r="76" spans="1:7" x14ac:dyDescent="0.3">
      <c r="B76" t="s">
        <v>485</v>
      </c>
      <c r="C76">
        <v>3</v>
      </c>
      <c r="D76" s="1" t="s">
        <v>490</v>
      </c>
    </row>
    <row r="77" spans="1:7" x14ac:dyDescent="0.3">
      <c r="B77" t="s">
        <v>486</v>
      </c>
      <c r="C77">
        <v>8</v>
      </c>
      <c r="D77" s="1" t="s">
        <v>491</v>
      </c>
    </row>
    <row r="78" spans="1:7" x14ac:dyDescent="0.3">
      <c r="B78" t="s">
        <v>487</v>
      </c>
      <c r="C78">
        <v>139</v>
      </c>
      <c r="D78" s="1" t="s">
        <v>22</v>
      </c>
    </row>
    <row r="79" spans="1:7" x14ac:dyDescent="0.3">
      <c r="B79" s="196" t="s">
        <v>498</v>
      </c>
      <c r="C79">
        <v>16</v>
      </c>
      <c r="D79" s="1" t="s">
        <v>22</v>
      </c>
    </row>
    <row r="80" spans="1:7" x14ac:dyDescent="0.3">
      <c r="B80" s="196" t="s">
        <v>499</v>
      </c>
      <c r="C80">
        <v>16</v>
      </c>
      <c r="D80" s="1" t="s">
        <v>22</v>
      </c>
    </row>
    <row r="81" spans="1:7" x14ac:dyDescent="0.3">
      <c r="B81" s="196" t="s">
        <v>500</v>
      </c>
      <c r="C81">
        <v>16</v>
      </c>
      <c r="D81" s="1" t="s">
        <v>22</v>
      </c>
    </row>
    <row r="82" spans="1:7" x14ac:dyDescent="0.3">
      <c r="B82" s="196" t="s">
        <v>501</v>
      </c>
      <c r="C82">
        <v>16</v>
      </c>
      <c r="D82" s="1" t="s">
        <v>22</v>
      </c>
    </row>
    <row r="83" spans="1:7" x14ac:dyDescent="0.3">
      <c r="B83" t="s">
        <v>502</v>
      </c>
      <c r="C83">
        <v>2</v>
      </c>
      <c r="D83" s="1" t="s">
        <v>490</v>
      </c>
    </row>
    <row r="85" spans="1:7" x14ac:dyDescent="0.3">
      <c r="A85" s="162">
        <v>45952</v>
      </c>
      <c r="B85" t="s">
        <v>486</v>
      </c>
      <c r="C85">
        <v>8</v>
      </c>
      <c r="D85" s="1" t="s">
        <v>491</v>
      </c>
    </row>
    <row r="86" spans="1:7" x14ac:dyDescent="0.3">
      <c r="B86" t="s">
        <v>487</v>
      </c>
      <c r="C86">
        <v>139</v>
      </c>
      <c r="D86" s="1" t="s">
        <v>22</v>
      </c>
      <c r="F86" s="1">
        <v>1</v>
      </c>
      <c r="G86" s="1" t="s">
        <v>658</v>
      </c>
    </row>
    <row r="87" spans="1:7" x14ac:dyDescent="0.3">
      <c r="B87" s="196" t="s">
        <v>503</v>
      </c>
      <c r="C87">
        <v>20</v>
      </c>
      <c r="D87" s="1" t="s">
        <v>22</v>
      </c>
      <c r="F87" s="1">
        <v>1</v>
      </c>
      <c r="G87" s="1" t="s">
        <v>492</v>
      </c>
    </row>
    <row r="88" spans="1:7" x14ac:dyDescent="0.3">
      <c r="B88" s="196" t="s">
        <v>404</v>
      </c>
      <c r="C88">
        <v>20</v>
      </c>
      <c r="D88" s="1" t="s">
        <v>22</v>
      </c>
      <c r="F88" s="1">
        <v>1</v>
      </c>
      <c r="G88" s="1" t="s">
        <v>493</v>
      </c>
    </row>
    <row r="89" spans="1:7" x14ac:dyDescent="0.3">
      <c r="B89" s="196" t="s">
        <v>504</v>
      </c>
      <c r="C89">
        <v>20</v>
      </c>
      <c r="D89" s="1" t="s">
        <v>22</v>
      </c>
      <c r="F89" s="1">
        <v>3</v>
      </c>
      <c r="G89" s="1" t="s">
        <v>494</v>
      </c>
    </row>
    <row r="90" spans="1:7" x14ac:dyDescent="0.3">
      <c r="B90" t="s">
        <v>505</v>
      </c>
      <c r="C90">
        <v>10</v>
      </c>
      <c r="D90" s="1" t="s">
        <v>22</v>
      </c>
    </row>
    <row r="91" spans="1:7" x14ac:dyDescent="0.3">
      <c r="B91" t="s">
        <v>506</v>
      </c>
    </row>
    <row r="92" spans="1:7" x14ac:dyDescent="0.3">
      <c r="B92" t="s">
        <v>507</v>
      </c>
    </row>
    <row r="93" spans="1:7" x14ac:dyDescent="0.3">
      <c r="B93" t="s">
        <v>508</v>
      </c>
    </row>
    <row r="94" spans="1:7" x14ac:dyDescent="0.3">
      <c r="B94" t="s">
        <v>509</v>
      </c>
    </row>
    <row r="95" spans="1:7" x14ac:dyDescent="0.3">
      <c r="B95" t="s">
        <v>510</v>
      </c>
    </row>
    <row r="96" spans="1:7" x14ac:dyDescent="0.3">
      <c r="B96" t="s">
        <v>511</v>
      </c>
    </row>
    <row r="98" spans="1:7" x14ac:dyDescent="0.3">
      <c r="A98" s="162">
        <v>45953</v>
      </c>
      <c r="B98" t="s">
        <v>486</v>
      </c>
      <c r="F98" s="1">
        <v>1</v>
      </c>
      <c r="G98" s="1" t="s">
        <v>658</v>
      </c>
    </row>
    <row r="99" spans="1:7" x14ac:dyDescent="0.3">
      <c r="F99" s="1">
        <v>1</v>
      </c>
      <c r="G99" s="1" t="s">
        <v>492</v>
      </c>
    </row>
    <row r="100" spans="1:7" x14ac:dyDescent="0.3">
      <c r="F100" s="1">
        <v>1</v>
      </c>
      <c r="G100" s="1" t="s">
        <v>493</v>
      </c>
    </row>
    <row r="101" spans="1:7" x14ac:dyDescent="0.3">
      <c r="F101" s="1">
        <v>3</v>
      </c>
      <c r="G101" s="1" t="s">
        <v>494</v>
      </c>
    </row>
    <row r="104" spans="1:7" x14ac:dyDescent="0.3">
      <c r="A104" s="162">
        <v>45954</v>
      </c>
    </row>
    <row r="116" spans="1:1" x14ac:dyDescent="0.3">
      <c r="A116" s="162">
        <v>45955</v>
      </c>
    </row>
    <row r="126" spans="1:1" x14ac:dyDescent="0.3">
      <c r="A126" s="162">
        <v>45956</v>
      </c>
    </row>
    <row r="137" spans="1:4" x14ac:dyDescent="0.3">
      <c r="A137" s="162">
        <v>45957</v>
      </c>
      <c r="B137" t="s">
        <v>531</v>
      </c>
      <c r="C137">
        <v>400</v>
      </c>
      <c r="D137" s="1" t="s">
        <v>22</v>
      </c>
    </row>
    <row r="138" spans="1:4" x14ac:dyDescent="0.3">
      <c r="B138" t="s">
        <v>532</v>
      </c>
      <c r="C138">
        <v>1</v>
      </c>
      <c r="D138" s="1" t="s">
        <v>490</v>
      </c>
    </row>
    <row r="139" spans="1:4" x14ac:dyDescent="0.3">
      <c r="B139" t="s">
        <v>533</v>
      </c>
      <c r="C139">
        <v>4</v>
      </c>
      <c r="D139" s="1" t="s">
        <v>490</v>
      </c>
    </row>
    <row r="140" spans="1:4" x14ac:dyDescent="0.3">
      <c r="B140" t="s">
        <v>534</v>
      </c>
      <c r="C140">
        <v>4</v>
      </c>
      <c r="D140" s="1" t="s">
        <v>490</v>
      </c>
    </row>
    <row r="141" spans="1:4" x14ac:dyDescent="0.3">
      <c r="B141" t="s">
        <v>484</v>
      </c>
      <c r="C141">
        <v>4</v>
      </c>
      <c r="D141" s="1" t="s">
        <v>22</v>
      </c>
    </row>
    <row r="142" spans="1:4" x14ac:dyDescent="0.3">
      <c r="B142" t="s">
        <v>485</v>
      </c>
      <c r="C142">
        <v>4</v>
      </c>
      <c r="D142" s="1" t="s">
        <v>22</v>
      </c>
    </row>
    <row r="144" spans="1:4" x14ac:dyDescent="0.3">
      <c r="A144" s="162">
        <v>45958</v>
      </c>
      <c r="B144" t="s">
        <v>526</v>
      </c>
      <c r="C144">
        <v>26</v>
      </c>
      <c r="D144" s="1" t="s">
        <v>22</v>
      </c>
    </row>
    <row r="145" spans="1:4" x14ac:dyDescent="0.3">
      <c r="B145" t="s">
        <v>527</v>
      </c>
      <c r="C145">
        <v>100</v>
      </c>
      <c r="D145" s="1" t="s">
        <v>22</v>
      </c>
    </row>
    <row r="146" spans="1:4" x14ac:dyDescent="0.3">
      <c r="B146" t="s">
        <v>528</v>
      </c>
      <c r="C146">
        <v>1</v>
      </c>
      <c r="D146" s="1" t="s">
        <v>62</v>
      </c>
    </row>
    <row r="147" spans="1:4" x14ac:dyDescent="0.3">
      <c r="B147" t="s">
        <v>529</v>
      </c>
      <c r="C147">
        <v>48</v>
      </c>
      <c r="D147" s="1" t="s">
        <v>22</v>
      </c>
    </row>
    <row r="148" spans="1:4" x14ac:dyDescent="0.3">
      <c r="B148" t="s">
        <v>530</v>
      </c>
      <c r="C148">
        <v>37</v>
      </c>
      <c r="D148" s="1" t="s">
        <v>490</v>
      </c>
    </row>
    <row r="150" spans="1:4" x14ac:dyDescent="0.3">
      <c r="A150" s="162">
        <v>45959</v>
      </c>
    </row>
    <row r="156" spans="1:4" x14ac:dyDescent="0.3">
      <c r="A156" s="162">
        <v>45960</v>
      </c>
    </row>
  </sheetData>
  <mergeCells count="16">
    <mergeCell ref="B2:AF2"/>
    <mergeCell ref="B4:B9"/>
    <mergeCell ref="C4:C9"/>
    <mergeCell ref="D4:H4"/>
    <mergeCell ref="J4:N4"/>
    <mergeCell ref="P4:T4"/>
    <mergeCell ref="V4:Y4"/>
    <mergeCell ref="AB4:AF4"/>
    <mergeCell ref="B33:B39"/>
    <mergeCell ref="C33:C39"/>
    <mergeCell ref="B11:B15"/>
    <mergeCell ref="C11:C15"/>
    <mergeCell ref="B17:B23"/>
    <mergeCell ref="C17:C23"/>
    <mergeCell ref="B25:B31"/>
    <mergeCell ref="C25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INSTRUMENTACIÓN</vt:lpstr>
      <vt:lpstr>VALVULAS</vt:lpstr>
      <vt:lpstr>AVANCE_CHAROFILL</vt:lpstr>
      <vt:lpstr>CHAROFILL</vt:lpstr>
      <vt:lpstr>T_MUERTO</vt:lpstr>
      <vt:lpstr>MOTOR</vt:lpstr>
      <vt:lpstr>JOSE RICARDEZ_BD</vt:lpstr>
      <vt:lpstr>INSTRUMENTACIÓN!Área_de_impresión</vt:lpstr>
      <vt:lpstr>MOTOR!Área_de_impresión</vt:lpstr>
      <vt:lpstr>VALVULAS!Área_de_impresión</vt:lpstr>
      <vt:lpstr>MOTOR!Títulos_a_imprimir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May</dc:creator>
  <cp:lastModifiedBy>Samuel Alejandro Manrique Mujica</cp:lastModifiedBy>
  <cp:lastPrinted>2025-11-25T14:52:33Z</cp:lastPrinted>
  <dcterms:created xsi:type="dcterms:W3CDTF">2025-08-28T17:20:24Z</dcterms:created>
  <dcterms:modified xsi:type="dcterms:W3CDTF">2026-10-17T23:14:20Z</dcterms:modified>
</cp:coreProperties>
</file>